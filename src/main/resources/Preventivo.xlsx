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ae\eclipse-workspace\CMOOffers\src\main\resources\"/>
    </mc:Choice>
  </mc:AlternateContent>
  <xr:revisionPtr revIDLastSave="0" documentId="13_ncr:1_{03445F08-7DC1-41BB-A9F5-B4C2EC6A2B8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P" sheetId="8" r:id="rId1"/>
    <sheet name="OFFER" sheetId="16" r:id="rId2"/>
    <sheet name="SC1" sheetId="3" r:id="rId3"/>
    <sheet name="SC2" sheetId="17" r:id="rId4"/>
    <sheet name="SC3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21" i="17"/>
  <c r="E21" i="18"/>
  <c r="E16" i="18"/>
  <c r="E13" i="18"/>
  <c r="I28" i="18"/>
  <c r="I28" i="17"/>
  <c r="I28" i="3"/>
  <c r="I37" i="3"/>
  <c r="I36" i="3"/>
  <c r="I35" i="3"/>
  <c r="I34" i="3"/>
  <c r="I33" i="3"/>
  <c r="I32" i="3"/>
  <c r="I31" i="3"/>
  <c r="I30" i="3"/>
  <c r="J28" i="3"/>
  <c r="E49" i="18" l="1"/>
  <c r="K42" i="18"/>
  <c r="M42" i="18" s="1"/>
  <c r="M43" i="18" s="1"/>
  <c r="I42" i="18"/>
  <c r="I43" i="18" s="1"/>
  <c r="J37" i="18"/>
  <c r="M37" i="18" s="1"/>
  <c r="I37" i="18"/>
  <c r="L37" i="18" s="1"/>
  <c r="M36" i="18"/>
  <c r="L36" i="18"/>
  <c r="J35" i="18"/>
  <c r="M35" i="18" s="1"/>
  <c r="I35" i="18"/>
  <c r="L35" i="18" s="1"/>
  <c r="J34" i="18"/>
  <c r="I34" i="18"/>
  <c r="L34" i="18" s="1"/>
  <c r="J33" i="18"/>
  <c r="M33" i="18" s="1"/>
  <c r="I33" i="18"/>
  <c r="L33" i="18" s="1"/>
  <c r="J32" i="18"/>
  <c r="M32" i="18" s="1"/>
  <c r="I32" i="18"/>
  <c r="L32" i="18" s="1"/>
  <c r="J31" i="18"/>
  <c r="M31" i="18" s="1"/>
  <c r="I31" i="18"/>
  <c r="L31" i="18" s="1"/>
  <c r="J30" i="18"/>
  <c r="M30" i="18" s="1"/>
  <c r="I30" i="18"/>
  <c r="L30" i="18" s="1"/>
  <c r="J29" i="18"/>
  <c r="M29" i="18" s="1"/>
  <c r="I29" i="18"/>
  <c r="L29" i="18" s="1"/>
  <c r="J28" i="18"/>
  <c r="M28" i="18" s="1"/>
  <c r="L28" i="18"/>
  <c r="D25" i="18"/>
  <c r="C47" i="18" s="1"/>
  <c r="E47" i="18" s="1"/>
  <c r="H47" i="18" s="1"/>
  <c r="C25" i="18"/>
  <c r="K24" i="18"/>
  <c r="E24" i="18"/>
  <c r="E20" i="18"/>
  <c r="G20" i="18" s="1"/>
  <c r="E19" i="18"/>
  <c r="G19" i="18" s="1"/>
  <c r="E18" i="18"/>
  <c r="G18" i="18" s="1"/>
  <c r="E17" i="18"/>
  <c r="G17" i="18" s="1"/>
  <c r="G16" i="18"/>
  <c r="E12" i="18"/>
  <c r="G12" i="18" s="1"/>
  <c r="E11" i="18"/>
  <c r="G11" i="18" s="1"/>
  <c r="E10" i="18"/>
  <c r="G10" i="18" s="1"/>
  <c r="E9" i="18"/>
  <c r="G9" i="18" s="1"/>
  <c r="E8" i="18"/>
  <c r="G8" i="18" s="1"/>
  <c r="E49" i="17"/>
  <c r="K42" i="17"/>
  <c r="M42" i="17" s="1"/>
  <c r="M43" i="17" s="1"/>
  <c r="I42" i="17"/>
  <c r="I43" i="17" s="1"/>
  <c r="J37" i="17"/>
  <c r="M37" i="17" s="1"/>
  <c r="I37" i="17"/>
  <c r="L37" i="17" s="1"/>
  <c r="M36" i="17"/>
  <c r="L36" i="17"/>
  <c r="J35" i="17"/>
  <c r="M35" i="17" s="1"/>
  <c r="I35" i="17"/>
  <c r="L35" i="17" s="1"/>
  <c r="J34" i="17"/>
  <c r="I34" i="17"/>
  <c r="L34" i="17" s="1"/>
  <c r="J33" i="17"/>
  <c r="M33" i="17" s="1"/>
  <c r="I33" i="17"/>
  <c r="L33" i="17" s="1"/>
  <c r="J32" i="17"/>
  <c r="M32" i="17" s="1"/>
  <c r="I32" i="17"/>
  <c r="L32" i="17" s="1"/>
  <c r="J31" i="17"/>
  <c r="M31" i="17" s="1"/>
  <c r="I31" i="17"/>
  <c r="L31" i="17" s="1"/>
  <c r="J30" i="17"/>
  <c r="M30" i="17" s="1"/>
  <c r="I30" i="17"/>
  <c r="L30" i="17" s="1"/>
  <c r="J29" i="17"/>
  <c r="M29" i="17" s="1"/>
  <c r="I29" i="17"/>
  <c r="L29" i="17" s="1"/>
  <c r="J28" i="17"/>
  <c r="M28" i="17" s="1"/>
  <c r="L28" i="17"/>
  <c r="D25" i="17"/>
  <c r="C47" i="17" s="1"/>
  <c r="E47" i="17" s="1"/>
  <c r="H47" i="17" s="1"/>
  <c r="C25" i="17"/>
  <c r="L24" i="17"/>
  <c r="K24" i="17"/>
  <c r="E24" i="17"/>
  <c r="E20" i="17"/>
  <c r="G20" i="17" s="1"/>
  <c r="E19" i="17"/>
  <c r="G19" i="17" s="1"/>
  <c r="E18" i="17"/>
  <c r="G18" i="17" s="1"/>
  <c r="E17" i="17"/>
  <c r="G17" i="17" s="1"/>
  <c r="E16" i="17"/>
  <c r="G16" i="17" s="1"/>
  <c r="E12" i="17"/>
  <c r="G12" i="17" s="1"/>
  <c r="E11" i="17"/>
  <c r="G11" i="17" s="1"/>
  <c r="E10" i="17"/>
  <c r="G10" i="17" s="1"/>
  <c r="E9" i="17"/>
  <c r="G9" i="17" s="1"/>
  <c r="E8" i="17"/>
  <c r="G8" i="17" s="1"/>
  <c r="M36" i="3"/>
  <c r="L36" i="3"/>
  <c r="L37" i="3"/>
  <c r="J37" i="3"/>
  <c r="M37" i="3" s="1"/>
  <c r="M34" i="18" l="1"/>
  <c r="M39" i="18" s="1"/>
  <c r="M34" i="17"/>
  <c r="M39" i="17" s="1"/>
  <c r="L38" i="18"/>
  <c r="M38" i="18"/>
  <c r="G13" i="18"/>
  <c r="G21" i="18"/>
  <c r="C46" i="18"/>
  <c r="E46" i="18" s="1"/>
  <c r="E13" i="17"/>
  <c r="M38" i="17"/>
  <c r="G13" i="17"/>
  <c r="G21" i="17"/>
  <c r="L38" i="17"/>
  <c r="C46" i="17"/>
  <c r="E46" i="17" s="1"/>
  <c r="H46" i="18" l="1"/>
  <c r="H49" i="18"/>
  <c r="H46" i="17"/>
  <c r="H49" i="17"/>
  <c r="J29" i="3" l="1"/>
  <c r="M29" i="3" s="1"/>
  <c r="J30" i="3"/>
  <c r="M30" i="3" s="1"/>
  <c r="J31" i="3"/>
  <c r="M31" i="3" s="1"/>
  <c r="J32" i="3"/>
  <c r="M32" i="3" s="1"/>
  <c r="J35" i="3"/>
  <c r="M35" i="3" s="1"/>
  <c r="J33" i="3"/>
  <c r="M33" i="3" s="1"/>
  <c r="J34" i="3"/>
  <c r="M28" i="3"/>
  <c r="K42" i="3"/>
  <c r="M42" i="3" s="1"/>
  <c r="I42" i="3"/>
  <c r="L29" i="3"/>
  <c r="L30" i="3"/>
  <c r="L31" i="3"/>
  <c r="L32" i="3"/>
  <c r="L35" i="3"/>
  <c r="L33" i="3"/>
  <c r="D25" i="3"/>
  <c r="C25" i="3"/>
  <c r="E20" i="3"/>
  <c r="G20" i="3" s="1"/>
  <c r="L24" i="3"/>
  <c r="E24" i="3"/>
  <c r="E17" i="3"/>
  <c r="G17" i="3" s="1"/>
  <c r="E18" i="3"/>
  <c r="G18" i="3" s="1"/>
  <c r="E19" i="3"/>
  <c r="G19" i="3" s="1"/>
  <c r="I5" i="8"/>
  <c r="B5" i="8"/>
  <c r="B6" i="8" s="1"/>
  <c r="B8" i="8" s="1"/>
  <c r="M24" i="17" s="1"/>
  <c r="H24" i="17" l="1"/>
  <c r="I43" i="3"/>
  <c r="M34" i="3"/>
  <c r="M39" i="3" s="1"/>
  <c r="L28" i="3"/>
  <c r="L38" i="3" s="1"/>
  <c r="L34" i="3"/>
  <c r="M38" i="3"/>
  <c r="C46" i="3"/>
  <c r="C47" i="3"/>
  <c r="E47" i="3" s="1"/>
  <c r="M43" i="3"/>
  <c r="K24" i="3"/>
  <c r="J24" i="17" l="1"/>
  <c r="J25" i="17" s="1"/>
  <c r="H25" i="17"/>
  <c r="E48" i="17" s="1"/>
  <c r="H49" i="3"/>
  <c r="E49" i="3"/>
  <c r="H48" i="17" l="1"/>
  <c r="H50" i="17" s="1"/>
  <c r="AB13" i="16"/>
  <c r="M3" i="8"/>
  <c r="I7" i="8"/>
  <c r="S3" i="8"/>
  <c r="L24" i="18" l="1"/>
  <c r="M24" i="3"/>
  <c r="I6" i="8"/>
  <c r="I8" i="8" s="1"/>
  <c r="M24" i="18" s="1"/>
  <c r="H24" i="18" l="1"/>
  <c r="H24" i="3"/>
  <c r="J24" i="3" s="1"/>
  <c r="J25" i="3" s="1"/>
  <c r="J24" i="18" l="1"/>
  <c r="J25" i="18" s="1"/>
  <c r="H25" i="18"/>
  <c r="E48" i="18" s="1"/>
  <c r="H25" i="3"/>
  <c r="E16" i="3"/>
  <c r="G16" i="3" s="1"/>
  <c r="AB14" i="16" l="1"/>
  <c r="H48" i="18"/>
  <c r="H50" i="18" s="1"/>
  <c r="G21" i="3"/>
  <c r="E48" i="3"/>
  <c r="E12" i="3"/>
  <c r="G12" i="3" s="1"/>
  <c r="E9" i="3"/>
  <c r="G9" i="3" s="1"/>
  <c r="H48" i="3" l="1"/>
  <c r="E10" i="3"/>
  <c r="G10" i="3" s="1"/>
  <c r="E11" i="3"/>
  <c r="G11" i="3" s="1"/>
  <c r="E8" i="3"/>
  <c r="E13" i="3" l="1"/>
  <c r="G8" i="3"/>
  <c r="H47" i="3" l="1"/>
  <c r="E46" i="3" l="1"/>
  <c r="AB12" i="16" s="1"/>
  <c r="H46" i="3" l="1"/>
  <c r="G13" i="3" l="1"/>
  <c r="H50" i="3" l="1"/>
</calcChain>
</file>

<file path=xl/sharedStrings.xml><?xml version="1.0" encoding="utf-8"?>
<sst xmlns="http://schemas.openxmlformats.org/spreadsheetml/2006/main" count="569" uniqueCount="186">
  <si>
    <t>COPPER PRICE FORMULA</t>
  </si>
  <si>
    <t>PERIOD</t>
  </si>
  <si>
    <t>ALUMINIUM PRICE FORMULA</t>
  </si>
  <si>
    <t>SILVER BASE PRICE</t>
  </si>
  <si>
    <t>lme $/tonn</t>
  </si>
  <si>
    <t>AVG AUG 2025</t>
  </si>
  <si>
    <t>Ag    €/Kg</t>
  </si>
  <si>
    <t>prime $/tonn</t>
  </si>
  <si>
    <t>Copper financial (4%)</t>
  </si>
  <si>
    <t xml:space="preserve">Alluminium financial </t>
  </si>
  <si>
    <t>Management  copper (6%)</t>
  </si>
  <si>
    <t>Management  alluminium</t>
  </si>
  <si>
    <t xml:space="preserve"> change $/€</t>
  </si>
  <si>
    <t>Cu    €/kg</t>
  </si>
  <si>
    <t>Al    €/kg</t>
  </si>
  <si>
    <t>Customer</t>
  </si>
  <si>
    <t>Your request</t>
  </si>
  <si>
    <t>Offer. Nr.</t>
  </si>
  <si>
    <t>Offer Date</t>
  </si>
  <si>
    <t>Rev.</t>
  </si>
  <si>
    <t>GENERAL INFORMATION</t>
  </si>
  <si>
    <t>RAW MATERIAL</t>
  </si>
  <si>
    <t>MACHINING</t>
  </si>
  <si>
    <t>SILVERING</t>
  </si>
  <si>
    <t>ADDITIONAL OPERATIONS</t>
  </si>
  <si>
    <t>PACk &amp; TRANSPORT</t>
  </si>
  <si>
    <t>Price</t>
  </si>
  <si>
    <t>TOOLING</t>
  </si>
  <si>
    <t>DELIVERY</t>
  </si>
  <si>
    <t>Rif</t>
  </si>
  <si>
    <t>Document reference</t>
  </si>
  <si>
    <t>Document Title</t>
  </si>
  <si>
    <t>Drawing</t>
  </si>
  <si>
    <t>q.ty x year</t>
  </si>
  <si>
    <t>Prod. Batch</t>
  </si>
  <si>
    <t>Delivery Batch</t>
  </si>
  <si>
    <t>Brut Weight Kg/pc.</t>
  </si>
  <si>
    <t>Net Weight  Kg/pc.</t>
  </si>
  <si>
    <t>Scrap Weight Kg/pc.</t>
  </si>
  <si>
    <t>Type</t>
  </si>
  <si>
    <t>Description</t>
  </si>
  <si>
    <t>Base Price €/Kg</t>
  </si>
  <si>
    <t>Transf. Price €/Kg</t>
  </si>
  <si>
    <t>Cost      €/pc.</t>
  </si>
  <si>
    <t>Setup     €/pc.</t>
  </si>
  <si>
    <t>Machining        €/pc.</t>
  </si>
  <si>
    <t>Silver Weight g/pc.</t>
  </si>
  <si>
    <t>Silver     Cost      €/pc.</t>
  </si>
  <si>
    <t>Silvering Operation  €/pc.</t>
  </si>
  <si>
    <t>Activity  €/pc.</t>
  </si>
  <si>
    <t>packaging   €/pc.</t>
  </si>
  <si>
    <t>transport €/pc</t>
  </si>
  <si>
    <t>€/pc.</t>
  </si>
  <si>
    <t xml:space="preserve"> PARTECIPATION COST</t>
  </si>
  <si>
    <t>First date</t>
  </si>
  <si>
    <t>Last date</t>
  </si>
  <si>
    <t>DELIVERY TIME</t>
  </si>
  <si>
    <t xml:space="preserve"> 70/80 working days minimum </t>
  </si>
  <si>
    <t>DAP - EX WORKS</t>
  </si>
  <si>
    <t>PAYMENT</t>
  </si>
  <si>
    <t>usual</t>
  </si>
  <si>
    <t>PACKAGING</t>
  </si>
  <si>
    <t>carton box</t>
  </si>
  <si>
    <t>PRICES</t>
  </si>
  <si>
    <t>will be updated with the LME raw material price</t>
  </si>
  <si>
    <t>VALIDITY</t>
  </si>
  <si>
    <t>OFFER</t>
  </si>
  <si>
    <t>Nr.</t>
  </si>
  <si>
    <t>01/25</t>
  </si>
  <si>
    <t>Date:</t>
  </si>
  <si>
    <t>Rev.:</t>
  </si>
  <si>
    <t xml:space="preserve"> </t>
  </si>
  <si>
    <t>Customer:</t>
  </si>
  <si>
    <t>SCHNEIDER</t>
  </si>
  <si>
    <t>Your request:</t>
  </si>
  <si>
    <t>1234 / 25</t>
  </si>
  <si>
    <t>Doc. reference:</t>
  </si>
  <si>
    <t>AK00002433757</t>
  </si>
  <si>
    <t xml:space="preserve">Description: </t>
  </si>
  <si>
    <t xml:space="preserve">Copper bar </t>
  </si>
  <si>
    <t>Drawing:</t>
  </si>
  <si>
    <t>A1</t>
  </si>
  <si>
    <t>Quantity x year:</t>
  </si>
  <si>
    <t>Pr.Batch:</t>
  </si>
  <si>
    <t>First delivery date:</t>
  </si>
  <si>
    <t>Last delivery date:</t>
  </si>
  <si>
    <t>Delivery Batch:</t>
  </si>
  <si>
    <t>CDC</t>
  </si>
  <si>
    <t>Tooling (Una tantum)</t>
  </si>
  <si>
    <t>Q.ty</t>
  </si>
  <si>
    <t>Cost (€)</t>
  </si>
  <si>
    <t>Total (€)</t>
  </si>
  <si>
    <t>% Ric</t>
  </si>
  <si>
    <t>Price (€)</t>
  </si>
  <si>
    <t>Note</t>
  </si>
  <si>
    <t>TOOL</t>
  </si>
  <si>
    <t>Attrezzo di piega</t>
  </si>
  <si>
    <t>Realizzazato internamente</t>
  </si>
  <si>
    <t>Attrezzo lav mec</t>
  </si>
  <si>
    <t>Beretta</t>
  </si>
  <si>
    <t>Test di campionatura</t>
  </si>
  <si>
    <t>Total</t>
  </si>
  <si>
    <t>Components</t>
  </si>
  <si>
    <t>Total Cost (€)</t>
  </si>
  <si>
    <t>COMP</t>
  </si>
  <si>
    <t>Guaina</t>
  </si>
  <si>
    <t>Rivetti</t>
  </si>
  <si>
    <t>Dadi</t>
  </si>
  <si>
    <t>bulloni e tap pad INOX</t>
  </si>
  <si>
    <t>Raw material</t>
  </si>
  <si>
    <t>Brut W. (Kg/pc)</t>
  </si>
  <si>
    <t>Net W.  (Kg/pc)</t>
  </si>
  <si>
    <t>Scrap W. (Kg/pc)</t>
  </si>
  <si>
    <t>% Screp Value</t>
  </si>
  <si>
    <t>Transf. Price (€/Kg)</t>
  </si>
  <si>
    <t>Material Cost (€/pc)</t>
  </si>
  <si>
    <t>LME ($/ton)</t>
  </si>
  <si>
    <t>Change (€/$)</t>
  </si>
  <si>
    <t>Material Cost (€/kg)</t>
  </si>
  <si>
    <t>CU</t>
  </si>
  <si>
    <t>LAM. CU ETP 1000x2000x3 H065</t>
  </si>
  <si>
    <t>Note mp</t>
  </si>
  <si>
    <t>Fase</t>
  </si>
  <si>
    <t>Machining &amp; Additional Operations</t>
  </si>
  <si>
    <t>Int/Ext</t>
  </si>
  <si>
    <t>Center</t>
  </si>
  <si>
    <t>Cost       (€/ora - €/pz)</t>
  </si>
  <si>
    <t>T. Setup (min)</t>
  </si>
  <si>
    <t>T. Prod (sec)</t>
  </si>
  <si>
    <t>Setup cost (€)</t>
  </si>
  <si>
    <t>Prod. cost (€)</t>
  </si>
  <si>
    <t>Setup Price</t>
  </si>
  <si>
    <t>Prod Price</t>
  </si>
  <si>
    <t xml:space="preserve">Progettazione </t>
  </si>
  <si>
    <t>MACH</t>
  </si>
  <si>
    <t>I</t>
  </si>
  <si>
    <t>PRG</t>
  </si>
  <si>
    <t>Taglio Laser</t>
  </si>
  <si>
    <t>TL</t>
  </si>
  <si>
    <t>Piega</t>
  </si>
  <si>
    <t>PIE</t>
  </si>
  <si>
    <t>Satinatura</t>
  </si>
  <si>
    <t>SAT</t>
  </si>
  <si>
    <t>Raggiatura Spigolo</t>
  </si>
  <si>
    <t>LAV</t>
  </si>
  <si>
    <t>Insulation</t>
  </si>
  <si>
    <t>ISO</t>
  </si>
  <si>
    <t>tinning 15µ</t>
  </si>
  <si>
    <t>ADD</t>
  </si>
  <si>
    <t>E</t>
  </si>
  <si>
    <t>TIN</t>
  </si>
  <si>
    <t>Controllo finale</t>
  </si>
  <si>
    <t>Total Machining</t>
  </si>
  <si>
    <t>Total Additional Operations</t>
  </si>
  <si>
    <t xml:space="preserve">Treatments </t>
  </si>
  <si>
    <t>Centro</t>
  </si>
  <si>
    <t>Oper. Cost (€/pc)</t>
  </si>
  <si>
    <t>% Oper Ric</t>
  </si>
  <si>
    <t>Oper. Price (€)</t>
  </si>
  <si>
    <t>Q.ty Ag (gr)</t>
  </si>
  <si>
    <t>Silver cost (€)</t>
  </si>
  <si>
    <t>% Silver Ric</t>
  </si>
  <si>
    <t>Silver Price (€)</t>
  </si>
  <si>
    <t>Argentatura</t>
  </si>
  <si>
    <t>ARG</t>
  </si>
  <si>
    <t>Arg</t>
  </si>
  <si>
    <t>Other</t>
  </si>
  <si>
    <t>Unit Cost (€)</t>
  </si>
  <si>
    <t>Total cost (€)</t>
  </si>
  <si>
    <t>TRAS</t>
  </si>
  <si>
    <t>Transport costs</t>
  </si>
  <si>
    <t>PACK</t>
  </si>
  <si>
    <t>Packaging</t>
  </si>
  <si>
    <t>MP</t>
  </si>
  <si>
    <t>Materiali e Componenti</t>
  </si>
  <si>
    <t>Lavorazioni</t>
  </si>
  <si>
    <t>AK0000584999</t>
  </si>
  <si>
    <t>Copper bar model 2</t>
  </si>
  <si>
    <t>A2</t>
  </si>
  <si>
    <t>Altro</t>
  </si>
  <si>
    <t>AK00005841111</t>
  </si>
  <si>
    <t>Al bar model 3</t>
  </si>
  <si>
    <t>A3</t>
  </si>
  <si>
    <t>AL</t>
  </si>
  <si>
    <t>LAM. AL 1000x2000x3 H065</t>
  </si>
  <si>
    <t>YOUR 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</si>
</sst>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dd/mm/yy;@"/>
    <numFmt numFmtId="168" formatCode="_-* #,##0.0\ _€_-;\-* #,##0.0\ _€_-;_-* &quot;-&quot;?\ _€_-;_-@_-"/>
    <numFmt numFmtId="169" formatCode="_-* #,##0.0\ _€_-;\-* #,##0.0\ _€_-;_-* &quot;-&quot;??\ _€_-;_-@_-"/>
    <numFmt numFmtId="170" formatCode="_-* #,##0.000\ _€_-;\-* #,##0.000\ _€_-;_-* &quot;-&quot;??\ _€_-;_-@_-"/>
    <numFmt numFmtId="171" formatCode="#,##0.00_ ;\-#,##0.00\ "/>
    <numFmt numFmtId="172" formatCode="_-[$€-2]\ * #,##0.00_-;\-[$€-2]\ * #,##0.00_-;_-[$€-2]\ * &quot;-&quot;??_-"/>
    <numFmt numFmtId="173" formatCode="[$€-2]\ #,##0.00;\-[$€-2]\ #,##0.00"/>
    <numFmt numFmtId="174" formatCode="[$$-409]#,##0.00"/>
    <numFmt numFmtId="175" formatCode="0.0%"/>
    <numFmt numFmtId="176" formatCode="_-* #,##0.0000\ _€_-;\-* #,##0.0000\ _€_-;_-* &quot;-&quot;??\ _€_-;_-@_-"/>
    <numFmt numFmtId="177" formatCode="0.000"/>
    <numFmt numFmtId="178" formatCode="#,##0.00000"/>
    <numFmt numFmtId="179" formatCode="_-&quot;€&quot;\ * #,##0.00_-;\-&quot;€&quot;\ * #,##0.00_-;_-&quot;€&quot;\ * &quot;-&quot;??_-;_-@_-"/>
    <numFmt numFmtId="180" formatCode="[$€-2]\ #,##0.00"/>
  </numFmts>
  <fonts count="23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Helvetica (PCL6)"/>
    </font>
    <font>
      <b/>
      <sz val="10"/>
      <name val="MS Sans Serif"/>
    </font>
    <font>
      <i/>
      <sz val="10"/>
      <color theme="0" tint="-0.14999847407452621"/>
      <name val="Arial"/>
      <family val="2"/>
    </font>
    <font>
      <i/>
      <sz val="10"/>
      <color theme="0" tint="-0.14999847407452621"/>
      <name val="MS Sans Serif"/>
    </font>
    <font>
      <u/>
      <sz val="10"/>
      <color theme="10"/>
      <name val="MS Sans Serif"/>
    </font>
    <font>
      <sz val="10"/>
      <name val="MS Sans Serif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i/>
      <sz val="10"/>
      <name val="Tahoma"/>
      <family val="2"/>
    </font>
    <font>
      <b/>
      <i/>
      <sz val="10"/>
      <name val="Tahoma"/>
      <family val="2"/>
    </font>
    <font>
      <sz val="10"/>
      <color rgb="FFFF0000"/>
      <name val="Tahoma"/>
      <family val="2"/>
    </font>
    <font>
      <sz val="10"/>
      <color rgb="FFC00000"/>
      <name val="Tahoma"/>
      <family val="2"/>
    </font>
    <font>
      <sz val="10"/>
      <color rgb="FF7030A0"/>
      <name val="Tahoma"/>
      <family val="2"/>
    </font>
    <font>
      <u/>
      <sz val="10"/>
      <color indexed="12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1" fillId="0" borderId="0"/>
    <xf numFmtId="172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17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3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3" fontId="4" fillId="0" borderId="5" xfId="4" applyNumberFormat="1" applyFont="1" applyFill="1" applyBorder="1" applyAlignment="1">
      <alignment horizontal="right"/>
    </xf>
    <xf numFmtId="175" fontId="8" fillId="2" borderId="23" xfId="1" applyNumberFormat="1" applyFont="1" applyFill="1" applyBorder="1" applyAlignment="1">
      <alignment horizontal="center" vertical="center"/>
    </xf>
    <xf numFmtId="174" fontId="2" fillId="0" borderId="23" xfId="0" applyNumberFormat="1" applyFont="1" applyBorder="1" applyAlignment="1">
      <alignment horizontal="right" vertical="center"/>
    </xf>
    <xf numFmtId="174" fontId="1" fillId="0" borderId="23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vertical="center"/>
    </xf>
    <xf numFmtId="174" fontId="9" fillId="0" borderId="23" xfId="0" applyNumberFormat="1" applyFont="1" applyBorder="1" applyAlignment="1">
      <alignment horizontal="right" vertical="center"/>
    </xf>
    <xf numFmtId="174" fontId="1" fillId="4" borderId="5" xfId="0" applyNumberFormat="1" applyFont="1" applyFill="1" applyBorder="1" applyAlignment="1">
      <alignment horizontal="right" vertical="center"/>
    </xf>
    <xf numFmtId="173" fontId="4" fillId="4" borderId="5" xfId="4" applyNumberFormat="1" applyFont="1" applyFill="1" applyBorder="1" applyAlignment="1">
      <alignment horizontal="right" vertical="center"/>
    </xf>
    <xf numFmtId="4" fontId="13" fillId="5" borderId="13" xfId="0" applyNumberFormat="1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/>
    <xf numFmtId="0" fontId="13" fillId="0" borderId="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169" fontId="13" fillId="0" borderId="0" xfId="1" applyNumberFormat="1" applyFont="1" applyFill="1" applyBorder="1" applyAlignment="1" applyProtection="1"/>
    <xf numFmtId="165" fontId="13" fillId="0" borderId="0" xfId="1" applyFont="1" applyFill="1" applyBorder="1" applyAlignment="1" applyProtection="1"/>
    <xf numFmtId="0" fontId="13" fillId="0" borderId="0" xfId="0" applyFont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49" fontId="13" fillId="0" borderId="0" xfId="0" applyNumberFormat="1" applyFont="1" applyAlignment="1">
      <alignment horizontal="right" vertical="center"/>
    </xf>
    <xf numFmtId="0" fontId="13" fillId="0" borderId="2" xfId="0" applyFont="1" applyBorder="1" applyAlignment="1">
      <alignment wrapText="1"/>
    </xf>
    <xf numFmtId="0" fontId="13" fillId="0" borderId="1" xfId="0" applyFont="1" applyBorder="1" applyAlignment="1">
      <alignment wrapText="1"/>
    </xf>
    <xf numFmtId="178" fontId="13" fillId="0" borderId="0" xfId="0" applyNumberFormat="1" applyFont="1" applyAlignment="1">
      <alignment horizontal="right" vertical="center"/>
    </xf>
    <xf numFmtId="49" fontId="13" fillId="4" borderId="16" xfId="0" applyNumberFormat="1" applyFont="1" applyFill="1" applyBorder="1" applyAlignment="1">
      <alignment horizontal="left" vertical="center" wrapText="1"/>
    </xf>
    <xf numFmtId="168" fontId="13" fillId="0" borderId="0" xfId="0" applyNumberFormat="1" applyFont="1"/>
    <xf numFmtId="49" fontId="13" fillId="0" borderId="23" xfId="0" applyNumberFormat="1" applyFont="1" applyBorder="1" applyAlignment="1">
      <alignment horizontal="left" vertical="center" wrapText="1"/>
    </xf>
    <xf numFmtId="49" fontId="13" fillId="0" borderId="29" xfId="0" applyNumberFormat="1" applyFont="1" applyBorder="1" applyAlignment="1">
      <alignment horizontal="left" vertical="center" wrapText="1"/>
    </xf>
    <xf numFmtId="165" fontId="13" fillId="5" borderId="16" xfId="1" applyFont="1" applyFill="1" applyBorder="1" applyAlignment="1" applyProtection="1"/>
    <xf numFmtId="4" fontId="13" fillId="0" borderId="0" xfId="0" applyNumberFormat="1" applyFont="1"/>
    <xf numFmtId="165" fontId="13" fillId="5" borderId="23" xfId="1" applyFont="1" applyFill="1" applyBorder="1" applyAlignment="1" applyProtection="1"/>
    <xf numFmtId="4" fontId="14" fillId="5" borderId="9" xfId="0" applyNumberFormat="1" applyFont="1" applyFill="1" applyBorder="1" applyAlignment="1">
      <alignment vertical="center"/>
    </xf>
    <xf numFmtId="4" fontId="14" fillId="0" borderId="27" xfId="0" applyNumberFormat="1" applyFont="1" applyBorder="1" applyAlignment="1">
      <alignment vertical="center"/>
    </xf>
    <xf numFmtId="4" fontId="14" fillId="0" borderId="2" xfId="0" applyNumberFormat="1" applyFont="1" applyBorder="1" applyAlignment="1">
      <alignment horizontal="left" vertical="center"/>
    </xf>
    <xf numFmtId="4" fontId="14" fillId="0" borderId="23" xfId="0" applyNumberFormat="1" applyFont="1" applyBorder="1" applyAlignment="1">
      <alignment horizontal="left" vertical="center"/>
    </xf>
    <xf numFmtId="4" fontId="14" fillId="0" borderId="23" xfId="0" applyNumberFormat="1" applyFont="1" applyBorder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49" fontId="16" fillId="4" borderId="27" xfId="0" applyNumberFormat="1" applyFont="1" applyFill="1" applyBorder="1" applyAlignment="1">
      <alignment horizontal="center" vertical="center"/>
    </xf>
    <xf numFmtId="167" fontId="16" fillId="4" borderId="27" xfId="0" applyNumberFormat="1" applyFont="1" applyFill="1" applyBorder="1" applyAlignment="1">
      <alignment horizontal="center" vertical="center"/>
    </xf>
    <xf numFmtId="1" fontId="16" fillId="4" borderId="22" xfId="0" applyNumberFormat="1" applyFont="1" applyFill="1" applyBorder="1" applyAlignment="1">
      <alignment horizontal="center" vertical="center"/>
    </xf>
    <xf numFmtId="167" fontId="19" fillId="0" borderId="0" xfId="0" applyNumberFormat="1" applyFont="1"/>
    <xf numFmtId="167" fontId="16" fillId="4" borderId="23" xfId="0" applyNumberFormat="1" applyFont="1" applyFill="1" applyBorder="1" applyAlignment="1">
      <alignment horizontal="center" vertical="center"/>
    </xf>
    <xf numFmtId="3" fontId="16" fillId="4" borderId="23" xfId="0" applyNumberFormat="1" applyFont="1" applyFill="1" applyBorder="1" applyAlignment="1">
      <alignment horizontal="center" vertical="center"/>
    </xf>
    <xf numFmtId="3" fontId="16" fillId="4" borderId="20" xfId="0" applyNumberFormat="1" applyFont="1" applyFill="1" applyBorder="1" applyAlignment="1">
      <alignment horizontal="center" vertical="center"/>
    </xf>
    <xf numFmtId="3" fontId="19" fillId="0" borderId="0" xfId="0" applyNumberFormat="1" applyFont="1"/>
    <xf numFmtId="4" fontId="13" fillId="0" borderId="0" xfId="0" applyNumberFormat="1" applyFont="1" applyAlignment="1">
      <alignment horizontal="center" vertical="center"/>
    </xf>
    <xf numFmtId="166" fontId="13" fillId="5" borderId="16" xfId="1" applyNumberFormat="1" applyFont="1" applyFill="1" applyBorder="1" applyAlignment="1" applyProtection="1">
      <alignment vertical="center"/>
    </xf>
    <xf numFmtId="171" fontId="13" fillId="5" borderId="16" xfId="1" applyNumberFormat="1" applyFont="1" applyFill="1" applyBorder="1" applyAlignment="1" applyProtection="1">
      <alignment vertical="center"/>
    </xf>
    <xf numFmtId="166" fontId="13" fillId="4" borderId="16" xfId="1" applyNumberFormat="1" applyFont="1" applyFill="1" applyBorder="1" applyAlignment="1" applyProtection="1">
      <alignment vertical="center"/>
    </xf>
    <xf numFmtId="165" fontId="20" fillId="0" borderId="16" xfId="1" applyFont="1" applyFill="1" applyBorder="1" applyAlignment="1" applyProtection="1">
      <alignment horizontal="right" vertical="center"/>
    </xf>
    <xf numFmtId="166" fontId="13" fillId="5" borderId="23" xfId="1" applyNumberFormat="1" applyFont="1" applyFill="1" applyBorder="1" applyAlignment="1" applyProtection="1">
      <alignment vertical="center"/>
    </xf>
    <xf numFmtId="171" fontId="13" fillId="5" borderId="23" xfId="1" applyNumberFormat="1" applyFont="1" applyFill="1" applyBorder="1" applyAlignment="1" applyProtection="1">
      <alignment vertical="center"/>
    </xf>
    <xf numFmtId="166" fontId="13" fillId="4" borderId="23" xfId="1" applyNumberFormat="1" applyFont="1" applyFill="1" applyBorder="1" applyAlignment="1" applyProtection="1">
      <alignment vertical="center"/>
    </xf>
    <xf numFmtId="165" fontId="20" fillId="5" borderId="23" xfId="1" applyFont="1" applyFill="1" applyBorder="1" applyAlignment="1" applyProtection="1">
      <alignment horizontal="right" vertical="center"/>
    </xf>
    <xf numFmtId="166" fontId="13" fillId="5" borderId="29" xfId="1" applyNumberFormat="1" applyFont="1" applyFill="1" applyBorder="1" applyAlignment="1" applyProtection="1">
      <alignment vertical="center"/>
    </xf>
    <xf numFmtId="171" fontId="13" fillId="5" borderId="29" xfId="1" applyNumberFormat="1" applyFont="1" applyFill="1" applyBorder="1" applyAlignment="1" applyProtection="1">
      <alignment vertical="center"/>
    </xf>
    <xf numFmtId="166" fontId="13" fillId="4" borderId="29" xfId="1" applyNumberFormat="1" applyFont="1" applyFill="1" applyBorder="1" applyAlignment="1" applyProtection="1">
      <alignment vertical="center"/>
    </xf>
    <xf numFmtId="165" fontId="20" fillId="5" borderId="29" xfId="1" applyFont="1" applyFill="1" applyBorder="1" applyAlignment="1" applyProtection="1">
      <alignment horizontal="right" vertical="center"/>
    </xf>
    <xf numFmtId="165" fontId="13" fillId="0" borderId="2" xfId="1" applyFont="1" applyFill="1" applyBorder="1" applyAlignment="1" applyProtection="1">
      <alignment vertical="center"/>
    </xf>
    <xf numFmtId="170" fontId="13" fillId="0" borderId="2" xfId="1" applyNumberFormat="1" applyFont="1" applyFill="1" applyBorder="1" applyAlignment="1" applyProtection="1">
      <alignment vertical="center"/>
    </xf>
    <xf numFmtId="170" fontId="13" fillId="4" borderId="2" xfId="1" applyNumberFormat="1" applyFont="1" applyFill="1" applyBorder="1" applyAlignment="1" applyProtection="1">
      <alignment vertical="center"/>
    </xf>
    <xf numFmtId="165" fontId="20" fillId="0" borderId="2" xfId="1" applyFont="1" applyFill="1" applyBorder="1" applyAlignment="1" applyProtection="1">
      <alignment horizontal="right" vertical="center"/>
    </xf>
    <xf numFmtId="165" fontId="13" fillId="4" borderId="18" xfId="1" applyFont="1" applyFill="1" applyBorder="1" applyAlignment="1" applyProtection="1">
      <alignment vertical="center"/>
    </xf>
    <xf numFmtId="165" fontId="13" fillId="0" borderId="23" xfId="1" applyFont="1" applyFill="1" applyBorder="1" applyAlignment="1" applyProtection="1">
      <alignment vertical="center"/>
    </xf>
    <xf numFmtId="170" fontId="13" fillId="0" borderId="23" xfId="1" applyNumberFormat="1" applyFont="1" applyFill="1" applyBorder="1" applyAlignment="1" applyProtection="1">
      <alignment vertical="center"/>
    </xf>
    <xf numFmtId="170" fontId="13" fillId="4" borderId="23" xfId="1" applyNumberFormat="1" applyFont="1" applyFill="1" applyBorder="1" applyAlignment="1" applyProtection="1">
      <alignment vertical="center"/>
    </xf>
    <xf numFmtId="165" fontId="20" fillId="0" borderId="23" xfId="1" applyFont="1" applyFill="1" applyBorder="1" applyAlignment="1" applyProtection="1">
      <alignment horizontal="right" vertical="center"/>
    </xf>
    <xf numFmtId="170" fontId="13" fillId="0" borderId="1" xfId="1" applyNumberFormat="1" applyFont="1" applyFill="1" applyBorder="1" applyAlignment="1" applyProtection="1">
      <alignment vertical="center"/>
    </xf>
    <xf numFmtId="170" fontId="13" fillId="4" borderId="1" xfId="1" applyNumberFormat="1" applyFont="1" applyFill="1" applyBorder="1" applyAlignment="1" applyProtection="1">
      <alignment vertical="center"/>
    </xf>
    <xf numFmtId="165" fontId="20" fillId="0" borderId="1" xfId="1" applyFont="1" applyFill="1" applyBorder="1" applyAlignment="1" applyProtection="1">
      <alignment horizontal="right" vertical="center"/>
    </xf>
    <xf numFmtId="171" fontId="13" fillId="5" borderId="12" xfId="1" applyNumberFormat="1" applyFont="1" applyFill="1" applyBorder="1" applyAlignment="1" applyProtection="1">
      <alignment horizontal="center" vertical="center"/>
    </xf>
    <xf numFmtId="171" fontId="13" fillId="0" borderId="2" xfId="1" applyNumberFormat="1" applyFont="1" applyFill="1" applyBorder="1" applyAlignment="1" applyProtection="1">
      <alignment vertical="center"/>
    </xf>
    <xf numFmtId="165" fontId="13" fillId="4" borderId="2" xfId="1" applyFont="1" applyFill="1" applyBorder="1" applyAlignment="1" applyProtection="1">
      <alignment vertical="center"/>
    </xf>
    <xf numFmtId="165" fontId="13" fillId="4" borderId="15" xfId="1" applyFont="1" applyFill="1" applyBorder="1" applyAlignment="1" applyProtection="1">
      <alignment vertical="center"/>
    </xf>
    <xf numFmtId="176" fontId="13" fillId="4" borderId="16" xfId="1" applyNumberFormat="1" applyFont="1" applyFill="1" applyBorder="1" applyAlignment="1" applyProtection="1">
      <alignment vertical="center"/>
    </xf>
    <xf numFmtId="165" fontId="13" fillId="4" borderId="23" xfId="1" applyFont="1" applyFill="1" applyBorder="1" applyAlignment="1" applyProtection="1">
      <alignment vertical="center"/>
    </xf>
    <xf numFmtId="165" fontId="13" fillId="4" borderId="29" xfId="1" applyFont="1" applyFill="1" applyBorder="1" applyAlignment="1" applyProtection="1">
      <alignment vertical="center"/>
    </xf>
    <xf numFmtId="0" fontId="13" fillId="4" borderId="16" xfId="0" applyFont="1" applyFill="1" applyBorder="1" applyAlignment="1">
      <alignment horizontal="center" vertical="center"/>
    </xf>
    <xf numFmtId="169" fontId="16" fillId="4" borderId="16" xfId="1" applyNumberFormat="1" applyFont="1" applyFill="1" applyBorder="1" applyAlignment="1" applyProtection="1"/>
    <xf numFmtId="0" fontId="16" fillId="4" borderId="16" xfId="0" applyFont="1" applyFill="1" applyBorder="1"/>
    <xf numFmtId="177" fontId="16" fillId="4" borderId="16" xfId="0" applyNumberFormat="1" applyFont="1" applyFill="1" applyBorder="1"/>
    <xf numFmtId="165" fontId="13" fillId="4" borderId="16" xfId="1" applyFont="1" applyFill="1" applyBorder="1" applyAlignment="1" applyProtection="1">
      <alignment vertical="center"/>
    </xf>
    <xf numFmtId="0" fontId="13" fillId="0" borderId="3" xfId="0" applyFont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9" fontId="16" fillId="0" borderId="23" xfId="1" applyNumberFormat="1" applyFont="1" applyFill="1" applyBorder="1" applyAlignment="1" applyProtection="1"/>
    <xf numFmtId="0" fontId="16" fillId="0" borderId="23" xfId="0" applyFont="1" applyBorder="1"/>
    <xf numFmtId="177" fontId="16" fillId="0" borderId="23" xfId="0" applyNumberFormat="1" applyFont="1" applyBorder="1"/>
    <xf numFmtId="0" fontId="13" fillId="0" borderId="28" xfId="0" applyFont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69" fontId="16" fillId="0" borderId="29" xfId="1" applyNumberFormat="1" applyFont="1" applyFill="1" applyBorder="1" applyAlignment="1" applyProtection="1"/>
    <xf numFmtId="0" fontId="16" fillId="0" borderId="29" xfId="0" applyFont="1" applyBorder="1"/>
    <xf numFmtId="177" fontId="16" fillId="0" borderId="29" xfId="0" applyNumberFormat="1" applyFont="1" applyBorder="1"/>
    <xf numFmtId="165" fontId="20" fillId="0" borderId="29" xfId="1" applyFont="1" applyFill="1" applyBorder="1" applyAlignment="1" applyProtection="1">
      <alignment horizontal="right" vertical="center"/>
    </xf>
    <xf numFmtId="4" fontId="13" fillId="5" borderId="16" xfId="0" applyNumberFormat="1" applyFont="1" applyFill="1" applyBorder="1" applyAlignment="1">
      <alignment wrapText="1"/>
    </xf>
    <xf numFmtId="165" fontId="16" fillId="5" borderId="16" xfId="1" applyFont="1" applyFill="1" applyBorder="1" applyAlignment="1" applyProtection="1"/>
    <xf numFmtId="165" fontId="19" fillId="5" borderId="16" xfId="1" applyFont="1" applyFill="1" applyBorder="1"/>
    <xf numFmtId="4" fontId="13" fillId="5" borderId="23" xfId="0" applyNumberFormat="1" applyFont="1" applyFill="1" applyBorder="1" applyAlignment="1">
      <alignment wrapText="1"/>
    </xf>
    <xf numFmtId="165" fontId="16" fillId="5" borderId="23" xfId="1" applyFont="1" applyFill="1" applyBorder="1" applyAlignment="1" applyProtection="1"/>
    <xf numFmtId="165" fontId="19" fillId="5" borderId="23" xfId="1" applyFont="1" applyFill="1" applyBorder="1"/>
    <xf numFmtId="4" fontId="13" fillId="5" borderId="29" xfId="0" applyNumberFormat="1" applyFont="1" applyFill="1" applyBorder="1" applyAlignment="1">
      <alignment wrapText="1"/>
    </xf>
    <xf numFmtId="164" fontId="13" fillId="4" borderId="17" xfId="8" applyFont="1" applyFill="1" applyBorder="1" applyAlignment="1" applyProtection="1">
      <alignment vertical="center"/>
    </xf>
    <xf numFmtId="164" fontId="13" fillId="4" borderId="19" xfId="8" applyFont="1" applyFill="1" applyBorder="1" applyAlignment="1" applyProtection="1">
      <alignment vertical="center"/>
    </xf>
    <xf numFmtId="164" fontId="13" fillId="4" borderId="30" xfId="8" applyFont="1" applyFill="1" applyBorder="1" applyAlignment="1" applyProtection="1">
      <alignment vertical="center"/>
    </xf>
    <xf numFmtId="4" fontId="13" fillId="7" borderId="21" xfId="0" applyNumberFormat="1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4" fontId="13" fillId="7" borderId="27" xfId="0" applyNumberFormat="1" applyFont="1" applyFill="1" applyBorder="1" applyAlignment="1">
      <alignment horizontal="center" vertical="center" wrapText="1"/>
    </xf>
    <xf numFmtId="4" fontId="13" fillId="7" borderId="22" xfId="0" applyNumberFormat="1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4" fontId="13" fillId="7" borderId="37" xfId="0" applyNumberFormat="1" applyFont="1" applyFill="1" applyBorder="1" applyAlignment="1">
      <alignment horizontal="center" vertical="center" wrapText="1"/>
    </xf>
    <xf numFmtId="4" fontId="13" fillId="7" borderId="38" xfId="0" applyNumberFormat="1" applyFont="1" applyFill="1" applyBorder="1" applyAlignment="1">
      <alignment horizontal="center" vertical="center" wrapText="1"/>
    </xf>
    <xf numFmtId="4" fontId="13" fillId="7" borderId="39" xfId="0" applyNumberFormat="1" applyFont="1" applyFill="1" applyBorder="1" applyAlignment="1">
      <alignment horizontal="center" vertical="center" wrapText="1"/>
    </xf>
    <xf numFmtId="4" fontId="13" fillId="0" borderId="26" xfId="0" applyNumberFormat="1" applyFont="1" applyBorder="1" applyAlignment="1">
      <alignment horizontal="left" vertical="center"/>
    </xf>
    <xf numFmtId="4" fontId="13" fillId="0" borderId="0" xfId="0" applyNumberFormat="1" applyFont="1" applyAlignment="1">
      <alignment horizontal="left" vertical="center"/>
    </xf>
    <xf numFmtId="167" fontId="16" fillId="0" borderId="6" xfId="0" applyNumberFormat="1" applyFont="1" applyBorder="1" applyAlignment="1">
      <alignment horizontal="center" vertical="center"/>
    </xf>
    <xf numFmtId="167" fontId="16" fillId="0" borderId="4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4" fontId="14" fillId="0" borderId="24" xfId="0" applyNumberFormat="1" applyFont="1" applyBorder="1" applyAlignment="1">
      <alignment vertical="center"/>
    </xf>
    <xf numFmtId="4" fontId="13" fillId="0" borderId="29" xfId="0" applyNumberFormat="1" applyFont="1" applyBorder="1" applyAlignment="1">
      <alignment horizontal="left" vertical="center"/>
    </xf>
    <xf numFmtId="167" fontId="16" fillId="4" borderId="29" xfId="0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vertical="center"/>
    </xf>
    <xf numFmtId="3" fontId="16" fillId="4" borderId="29" xfId="0" applyNumberFormat="1" applyFont="1" applyFill="1" applyBorder="1" applyAlignment="1">
      <alignment horizontal="center" vertical="center"/>
    </xf>
    <xf numFmtId="4" fontId="13" fillId="5" borderId="45" xfId="0" applyNumberFormat="1" applyFont="1" applyFill="1" applyBorder="1" applyAlignment="1">
      <alignment vertical="center"/>
    </xf>
    <xf numFmtId="3" fontId="19" fillId="5" borderId="47" xfId="0" applyNumberFormat="1" applyFont="1" applyFill="1" applyBorder="1" applyAlignment="1">
      <alignment horizontal="center" vertical="center"/>
    </xf>
    <xf numFmtId="3" fontId="13" fillId="8" borderId="21" xfId="0" applyNumberFormat="1" applyFont="1" applyFill="1" applyBorder="1" applyAlignment="1">
      <alignment horizontal="right" vertical="center" wrapText="1"/>
    </xf>
    <xf numFmtId="3" fontId="13" fillId="8" borderId="27" xfId="0" applyNumberFormat="1" applyFont="1" applyFill="1" applyBorder="1" applyAlignment="1">
      <alignment horizontal="right" vertical="center" wrapText="1"/>
    </xf>
    <xf numFmtId="166" fontId="13" fillId="8" borderId="27" xfId="1" applyNumberFormat="1" applyFont="1" applyFill="1" applyBorder="1" applyAlignment="1" applyProtection="1">
      <alignment vertical="center"/>
    </xf>
    <xf numFmtId="170" fontId="13" fillId="8" borderId="27" xfId="1" applyNumberFormat="1" applyFont="1" applyFill="1" applyBorder="1" applyAlignment="1" applyProtection="1">
      <alignment vertical="center"/>
    </xf>
    <xf numFmtId="165" fontId="13" fillId="8" borderId="27" xfId="1" applyFont="1" applyFill="1" applyBorder="1" applyAlignment="1" applyProtection="1">
      <alignment vertical="center"/>
    </xf>
    <xf numFmtId="3" fontId="13" fillId="8" borderId="22" xfId="0" applyNumberFormat="1" applyFont="1" applyFill="1" applyBorder="1" applyAlignment="1">
      <alignment horizontal="right" vertical="center" wrapText="1"/>
    </xf>
    <xf numFmtId="4" fontId="14" fillId="0" borderId="25" xfId="0" applyNumberFormat="1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/>
    </xf>
    <xf numFmtId="169" fontId="16" fillId="0" borderId="26" xfId="1" applyNumberFormat="1" applyFont="1" applyFill="1" applyBorder="1" applyAlignment="1" applyProtection="1"/>
    <xf numFmtId="165" fontId="20" fillId="0" borderId="26" xfId="1" applyFont="1" applyFill="1" applyBorder="1" applyAlignment="1" applyProtection="1">
      <alignment horizontal="right" vertical="center"/>
    </xf>
    <xf numFmtId="165" fontId="13" fillId="4" borderId="26" xfId="1" applyFont="1" applyFill="1" applyBorder="1" applyAlignment="1" applyProtection="1">
      <alignment vertical="center"/>
    </xf>
    <xf numFmtId="1" fontId="16" fillId="0" borderId="26" xfId="0" applyNumberFormat="1" applyFont="1" applyBorder="1" applyAlignment="1">
      <alignment horizontal="center" vertical="center"/>
    </xf>
    <xf numFmtId="164" fontId="13" fillId="4" borderId="35" xfId="8" applyFont="1" applyFill="1" applyBorder="1" applyAlignment="1" applyProtection="1">
      <alignment vertical="center"/>
    </xf>
    <xf numFmtId="171" fontId="13" fillId="8" borderId="21" xfId="1" applyNumberFormat="1" applyFont="1" applyFill="1" applyBorder="1" applyAlignment="1" applyProtection="1">
      <alignment horizontal="center" vertical="center"/>
    </xf>
    <xf numFmtId="164" fontId="13" fillId="8" borderId="22" xfId="8" applyFont="1" applyFill="1" applyBorder="1" applyAlignment="1" applyProtection="1">
      <alignment vertical="center"/>
    </xf>
    <xf numFmtId="171" fontId="13" fillId="8" borderId="4" xfId="1" applyNumberFormat="1" applyFont="1" applyFill="1" applyBorder="1" applyAlignment="1" applyProtection="1">
      <alignment horizontal="center" vertical="center"/>
    </xf>
    <xf numFmtId="3" fontId="13" fillId="8" borderId="26" xfId="0" applyNumberFormat="1" applyFont="1" applyFill="1" applyBorder="1" applyAlignment="1">
      <alignment horizontal="right" vertical="center" wrapText="1"/>
    </xf>
    <xf numFmtId="165" fontId="13" fillId="8" borderId="26" xfId="1" applyFont="1" applyFill="1" applyBorder="1" applyAlignment="1" applyProtection="1">
      <alignment vertical="center"/>
    </xf>
    <xf numFmtId="164" fontId="13" fillId="8" borderId="35" xfId="8" applyFont="1" applyFill="1" applyBorder="1" applyAlignment="1" applyProtection="1">
      <alignment vertical="center"/>
    </xf>
    <xf numFmtId="164" fontId="13" fillId="7" borderId="22" xfId="8" applyFont="1" applyFill="1" applyBorder="1" applyAlignment="1" applyProtection="1">
      <alignment horizontal="center" vertical="center" wrapText="1"/>
    </xf>
    <xf numFmtId="171" fontId="13" fillId="8" borderId="40" xfId="1" applyNumberFormat="1" applyFont="1" applyFill="1" applyBorder="1" applyAlignment="1" applyProtection="1">
      <alignment horizontal="center" vertical="center"/>
    </xf>
    <xf numFmtId="3" fontId="13" fillId="8" borderId="31" xfId="0" applyNumberFormat="1" applyFont="1" applyFill="1" applyBorder="1" applyAlignment="1">
      <alignment horizontal="right" vertical="center" wrapText="1"/>
    </xf>
    <xf numFmtId="0" fontId="13" fillId="8" borderId="44" xfId="0" applyFont="1" applyFill="1" applyBorder="1"/>
    <xf numFmtId="0" fontId="13" fillId="8" borderId="43" xfId="0" applyFont="1" applyFill="1" applyBorder="1" applyAlignment="1">
      <alignment vertical="center"/>
    </xf>
    <xf numFmtId="164" fontId="13" fillId="4" borderId="18" xfId="8" applyFont="1" applyFill="1" applyBorder="1" applyAlignment="1" applyProtection="1">
      <alignment vertical="center"/>
    </xf>
    <xf numFmtId="164" fontId="13" fillId="4" borderId="20" xfId="8" applyFont="1" applyFill="1" applyBorder="1" applyAlignment="1" applyProtection="1">
      <alignment vertical="center"/>
    </xf>
    <xf numFmtId="4" fontId="14" fillId="0" borderId="29" xfId="0" applyNumberFormat="1" applyFont="1" applyBorder="1" applyAlignment="1">
      <alignment horizontal="left" vertical="center"/>
    </xf>
    <xf numFmtId="164" fontId="14" fillId="8" borderId="42" xfId="8" applyFont="1" applyFill="1" applyBorder="1" applyAlignment="1" applyProtection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165" fontId="13" fillId="0" borderId="0" xfId="1" applyFont="1" applyAlignment="1">
      <alignment horizontal="center" vertical="center" wrapText="1"/>
    </xf>
    <xf numFmtId="165" fontId="13" fillId="0" borderId="0" xfId="1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left" vertical="center" wrapText="1"/>
    </xf>
    <xf numFmtId="177" fontId="13" fillId="0" borderId="0" xfId="0" applyNumberFormat="1" applyFont="1" applyAlignment="1">
      <alignment vertical="center" wrapText="1"/>
    </xf>
    <xf numFmtId="3" fontId="13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1" fontId="14" fillId="0" borderId="0" xfId="0" applyNumberFormat="1" applyFont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left" vertical="center" wrapText="1"/>
    </xf>
    <xf numFmtId="4" fontId="13" fillId="5" borderId="23" xfId="0" applyNumberFormat="1" applyFont="1" applyFill="1" applyBorder="1" applyAlignment="1">
      <alignment horizontal="center" vertical="center"/>
    </xf>
    <xf numFmtId="1" fontId="13" fillId="5" borderId="23" xfId="0" applyNumberFormat="1" applyFont="1" applyFill="1" applyBorder="1" applyAlignment="1">
      <alignment horizontal="center" vertical="center" wrapText="1"/>
    </xf>
    <xf numFmtId="177" fontId="13" fillId="5" borderId="23" xfId="0" applyNumberFormat="1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172" fontId="13" fillId="5" borderId="23" xfId="4" applyFont="1" applyFill="1" applyBorder="1" applyAlignment="1">
      <alignment horizontal="center" vertical="center" wrapText="1"/>
    </xf>
    <xf numFmtId="172" fontId="13" fillId="5" borderId="23" xfId="4" applyFont="1" applyFill="1" applyBorder="1" applyAlignment="1">
      <alignment vertical="center" wrapText="1"/>
    </xf>
    <xf numFmtId="172" fontId="13" fillId="5" borderId="23" xfId="7" applyFont="1" applyFill="1" applyBorder="1" applyAlignment="1">
      <alignment horizontal="center" vertical="center"/>
    </xf>
    <xf numFmtId="165" fontId="13" fillId="5" borderId="23" xfId="0" applyNumberFormat="1" applyFont="1" applyFill="1" applyBorder="1" applyAlignment="1">
      <alignment horizontal="center" vertical="center"/>
    </xf>
    <xf numFmtId="179" fontId="14" fillId="5" borderId="23" xfId="0" applyNumberFormat="1" applyFont="1" applyFill="1" applyBorder="1" applyAlignment="1">
      <alignment horizontal="center" vertical="center" wrapText="1"/>
    </xf>
    <xf numFmtId="14" fontId="13" fillId="5" borderId="23" xfId="3" applyNumberFormat="1" applyFont="1" applyFill="1" applyBorder="1"/>
    <xf numFmtId="0" fontId="13" fillId="5" borderId="23" xfId="3" applyFont="1" applyFill="1" applyBorder="1"/>
    <xf numFmtId="0" fontId="21" fillId="5" borderId="2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 wrapText="1"/>
    </xf>
    <xf numFmtId="177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2" fontId="13" fillId="5" borderId="1" xfId="4" applyFont="1" applyFill="1" applyBorder="1" applyAlignment="1">
      <alignment horizontal="center" vertical="center" wrapText="1"/>
    </xf>
    <xf numFmtId="172" fontId="13" fillId="5" borderId="1" xfId="4" applyFont="1" applyFill="1" applyBorder="1" applyAlignment="1">
      <alignment vertical="center" wrapText="1"/>
    </xf>
    <xf numFmtId="172" fontId="13" fillId="5" borderId="1" xfId="7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79" fontId="14" fillId="5" borderId="1" xfId="0" applyNumberFormat="1" applyFont="1" applyFill="1" applyBorder="1" applyAlignment="1">
      <alignment horizontal="center" vertical="center" wrapText="1"/>
    </xf>
    <xf numFmtId="0" fontId="13" fillId="5" borderId="1" xfId="3" applyFont="1" applyFill="1" applyBorder="1"/>
    <xf numFmtId="0" fontId="13" fillId="5" borderId="6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 wrapText="1"/>
    </xf>
    <xf numFmtId="177" fontId="13" fillId="5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172" fontId="13" fillId="5" borderId="0" xfId="4" applyFont="1" applyFill="1" applyBorder="1" applyAlignment="1">
      <alignment horizontal="center" vertical="center" wrapText="1"/>
    </xf>
    <xf numFmtId="172" fontId="13" fillId="5" borderId="0" xfId="4" applyFont="1" applyFill="1" applyBorder="1" applyAlignment="1">
      <alignment vertical="center" wrapText="1"/>
    </xf>
    <xf numFmtId="172" fontId="13" fillId="5" borderId="0" xfId="7" applyFont="1" applyFill="1" applyBorder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179" fontId="14" fillId="5" borderId="0" xfId="0" applyNumberFormat="1" applyFont="1" applyFill="1" applyAlignment="1">
      <alignment horizontal="center" vertical="center" wrapText="1"/>
    </xf>
    <xf numFmtId="0" fontId="13" fillId="5" borderId="0" xfId="3" applyFont="1" applyFill="1"/>
    <xf numFmtId="0" fontId="14" fillId="0" borderId="23" xfId="0" applyFont="1" applyBorder="1" applyAlignment="1">
      <alignment horizontal="center" vertical="center" wrapText="1"/>
    </xf>
    <xf numFmtId="180" fontId="13" fillId="0" borderId="0" xfId="0" applyNumberFormat="1" applyFont="1" applyAlignment="1">
      <alignment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" fontId="13" fillId="5" borderId="23" xfId="0" applyNumberFormat="1" applyFont="1" applyFill="1" applyBorder="1" applyAlignment="1">
      <alignment horizontal="left" vertical="center" wrapText="1"/>
    </xf>
    <xf numFmtId="0" fontId="13" fillId="5" borderId="23" xfId="0" applyFont="1" applyFill="1" applyBorder="1" applyAlignment="1">
      <alignment horizontal="left" vertical="center" wrapText="1"/>
    </xf>
    <xf numFmtId="14" fontId="13" fillId="5" borderId="23" xfId="0" applyNumberFormat="1" applyFont="1" applyFill="1" applyBorder="1" applyAlignment="1">
      <alignment horizontal="left" vertical="center" wrapText="1"/>
    </xf>
    <xf numFmtId="49" fontId="13" fillId="5" borderId="23" xfId="0" applyNumberFormat="1" applyFont="1" applyFill="1" applyBorder="1" applyAlignment="1">
      <alignment horizontal="center" vertical="center" wrapText="1"/>
    </xf>
    <xf numFmtId="1" fontId="13" fillId="7" borderId="27" xfId="6" applyNumberFormat="1" applyFont="1" applyFill="1" applyBorder="1" applyAlignment="1">
      <alignment horizontal="center" vertical="center" wrapText="1"/>
    </xf>
    <xf numFmtId="2" fontId="13" fillId="7" borderId="27" xfId="0" applyNumberFormat="1" applyFont="1" applyFill="1" applyBorder="1" applyAlignment="1">
      <alignment horizontal="center" vertical="center" wrapText="1"/>
    </xf>
    <xf numFmtId="2" fontId="13" fillId="7" borderId="22" xfId="0" applyNumberFormat="1" applyFont="1" applyFill="1" applyBorder="1" applyAlignment="1">
      <alignment horizontal="center" vertical="center" wrapText="1"/>
    </xf>
    <xf numFmtId="49" fontId="13" fillId="5" borderId="0" xfId="0" applyNumberFormat="1" applyFont="1" applyFill="1" applyAlignment="1">
      <alignment horizontal="center" vertical="center" wrapText="1"/>
    </xf>
    <xf numFmtId="2" fontId="18" fillId="7" borderId="27" xfId="0" applyNumberFormat="1" applyFont="1" applyFill="1" applyBorder="1" applyAlignment="1">
      <alignment horizontal="center" vertical="center" wrapText="1"/>
    </xf>
    <xf numFmtId="172" fontId="14" fillId="4" borderId="23" xfId="4" applyFont="1" applyFill="1" applyBorder="1" applyAlignment="1">
      <alignment vertical="center" wrapText="1"/>
    </xf>
    <xf numFmtId="172" fontId="13" fillId="4" borderId="23" xfId="4" applyFont="1" applyFill="1" applyBorder="1" applyAlignment="1">
      <alignment vertical="center" wrapText="1"/>
    </xf>
    <xf numFmtId="172" fontId="13" fillId="4" borderId="1" xfId="4" applyFont="1" applyFill="1" applyBorder="1" applyAlignment="1">
      <alignment vertical="center" wrapText="1"/>
    </xf>
    <xf numFmtId="0" fontId="17" fillId="0" borderId="51" xfId="0" applyFont="1" applyBorder="1" applyAlignment="1">
      <alignment horizontal="center" vertical="center" wrapText="1"/>
    </xf>
    <xf numFmtId="4" fontId="13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 wrapText="1"/>
    </xf>
    <xf numFmtId="177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72" fontId="13" fillId="5" borderId="2" xfId="4" applyFont="1" applyFill="1" applyBorder="1" applyAlignment="1">
      <alignment horizontal="center" vertical="center" wrapText="1"/>
    </xf>
    <xf numFmtId="172" fontId="13" fillId="5" borderId="2" xfId="4" applyFont="1" applyFill="1" applyBorder="1" applyAlignment="1">
      <alignment vertical="center" wrapText="1"/>
    </xf>
    <xf numFmtId="172" fontId="13" fillId="5" borderId="2" xfId="7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72" fontId="14" fillId="4" borderId="2" xfId="4" applyFont="1" applyFill="1" applyBorder="1" applyAlignment="1">
      <alignment vertical="center" wrapText="1"/>
    </xf>
    <xf numFmtId="179" fontId="14" fillId="5" borderId="2" xfId="0" applyNumberFormat="1" applyFont="1" applyFill="1" applyBorder="1" applyAlignment="1">
      <alignment horizontal="center" vertical="center" wrapText="1"/>
    </xf>
    <xf numFmtId="14" fontId="13" fillId="5" borderId="2" xfId="3" applyNumberFormat="1" applyFont="1" applyFill="1" applyBorder="1"/>
    <xf numFmtId="0" fontId="17" fillId="0" borderId="0" xfId="0" applyFont="1" applyAlignment="1">
      <alignment horizontal="center" vertical="center" wrapText="1"/>
    </xf>
    <xf numFmtId="4" fontId="14" fillId="7" borderId="21" xfId="0" applyNumberFormat="1" applyFont="1" applyFill="1" applyBorder="1" applyAlignment="1">
      <alignment horizontal="center" vertical="center" wrapText="1"/>
    </xf>
    <xf numFmtId="4" fontId="14" fillId="7" borderId="27" xfId="0" applyNumberFormat="1" applyFont="1" applyFill="1" applyBorder="1" applyAlignment="1">
      <alignment horizontal="center" vertical="center" wrapText="1"/>
    </xf>
    <xf numFmtId="4" fontId="14" fillId="7" borderId="38" xfId="0" applyNumberFormat="1" applyFont="1" applyFill="1" applyBorder="1" applyAlignment="1">
      <alignment horizontal="center" vertical="center" wrapText="1"/>
    </xf>
    <xf numFmtId="165" fontId="16" fillId="4" borderId="23" xfId="1" applyFont="1" applyFill="1" applyBorder="1"/>
    <xf numFmtId="165" fontId="13" fillId="4" borderId="23" xfId="1" applyFont="1" applyFill="1" applyBorder="1"/>
    <xf numFmtId="165" fontId="16" fillId="4" borderId="29" xfId="1" applyFont="1" applyFill="1" applyBorder="1"/>
    <xf numFmtId="165" fontId="13" fillId="4" borderId="29" xfId="1" applyFont="1" applyFill="1" applyBorder="1"/>
    <xf numFmtId="0" fontId="13" fillId="4" borderId="3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170" fontId="16" fillId="4" borderId="16" xfId="1" applyNumberFormat="1" applyFont="1" applyFill="1" applyBorder="1" applyAlignment="1" applyProtection="1"/>
    <xf numFmtId="170" fontId="16" fillId="4" borderId="23" xfId="1" applyNumberFormat="1" applyFont="1" applyFill="1" applyBorder="1" applyAlignment="1" applyProtection="1"/>
    <xf numFmtId="49" fontId="14" fillId="0" borderId="0" xfId="0" applyNumberFormat="1" applyFont="1" applyAlignment="1">
      <alignment horizontal="center" vertical="center"/>
    </xf>
    <xf numFmtId="167" fontId="16" fillId="5" borderId="6" xfId="0" applyNumberFormat="1" applyFont="1" applyFill="1" applyBorder="1" applyAlignment="1">
      <alignment horizontal="center" vertical="center"/>
    </xf>
    <xf numFmtId="167" fontId="16" fillId="5" borderId="13" xfId="0" applyNumberFormat="1" applyFont="1" applyFill="1" applyBorder="1" applyAlignment="1">
      <alignment horizontal="center" vertical="center"/>
    </xf>
    <xf numFmtId="4" fontId="13" fillId="0" borderId="49" xfId="0" applyNumberFormat="1" applyFont="1" applyBorder="1" applyAlignment="1">
      <alignment horizontal="left" vertical="center"/>
    </xf>
    <xf numFmtId="167" fontId="16" fillId="0" borderId="13" xfId="0" applyNumberFormat="1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4" fontId="13" fillId="0" borderId="13" xfId="0" applyNumberFormat="1" applyFont="1" applyBorder="1" applyAlignment="1">
      <alignment horizontal="left" vertical="center"/>
    </xf>
    <xf numFmtId="4" fontId="14" fillId="0" borderId="13" xfId="0" applyNumberFormat="1" applyFont="1" applyBorder="1" applyAlignment="1">
      <alignment vertical="center"/>
    </xf>
    <xf numFmtId="4" fontId="13" fillId="7" borderId="40" xfId="0" applyNumberFormat="1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4" fontId="14" fillId="0" borderId="7" xfId="0" applyNumberFormat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0" fontId="22" fillId="0" borderId="11" xfId="5" applyFont="1" applyBorder="1" applyAlignment="1" applyProtection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3" borderId="23" xfId="0" applyFill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9" fontId="16" fillId="4" borderId="36" xfId="0" applyNumberFormat="1" applyFont="1" applyFill="1" applyBorder="1" applyAlignment="1">
      <alignment horizontal="left" vertical="center"/>
    </xf>
    <xf numFmtId="49" fontId="16" fillId="4" borderId="33" xfId="0" applyNumberFormat="1" applyFont="1" applyFill="1" applyBorder="1" applyAlignment="1">
      <alignment horizontal="left" vertical="center"/>
    </xf>
    <xf numFmtId="49" fontId="16" fillId="4" borderId="32" xfId="0" applyNumberFormat="1" applyFont="1" applyFill="1" applyBorder="1" applyAlignment="1">
      <alignment horizontal="left" vertical="center"/>
    </xf>
    <xf numFmtId="49" fontId="16" fillId="4" borderId="5" xfId="0" applyNumberFormat="1" applyFont="1" applyFill="1" applyBorder="1" applyAlignment="1">
      <alignment horizontal="left" vertical="center"/>
    </xf>
    <xf numFmtId="49" fontId="16" fillId="4" borderId="7" xfId="0" applyNumberFormat="1" applyFont="1" applyFill="1" applyBorder="1" applyAlignment="1">
      <alignment horizontal="left" vertical="center"/>
    </xf>
    <xf numFmtId="49" fontId="16" fillId="4" borderId="8" xfId="0" applyNumberFormat="1" applyFont="1" applyFill="1" applyBorder="1" applyAlignment="1">
      <alignment horizontal="left" vertical="center"/>
    </xf>
    <xf numFmtId="167" fontId="16" fillId="4" borderId="45" xfId="0" applyNumberFormat="1" applyFont="1" applyFill="1" applyBorder="1" applyAlignment="1">
      <alignment horizontal="center" vertical="center"/>
    </xf>
    <xf numFmtId="167" fontId="16" fillId="4" borderId="46" xfId="0" applyNumberFormat="1" applyFont="1" applyFill="1" applyBorder="1" applyAlignment="1">
      <alignment horizontal="center" vertical="center"/>
    </xf>
    <xf numFmtId="49" fontId="16" fillId="4" borderId="34" xfId="0" applyNumberFormat="1" applyFont="1" applyFill="1" applyBorder="1" applyAlignment="1">
      <alignment horizontal="left" vertical="center"/>
    </xf>
    <xf numFmtId="49" fontId="15" fillId="4" borderId="5" xfId="0" applyNumberFormat="1" applyFont="1" applyFill="1" applyBorder="1" applyAlignment="1">
      <alignment horizontal="left" vertical="center"/>
    </xf>
    <xf numFmtId="49" fontId="15" fillId="4" borderId="7" xfId="0" applyNumberFormat="1" applyFont="1" applyFill="1" applyBorder="1" applyAlignment="1">
      <alignment horizontal="left" vertical="center"/>
    </xf>
    <xf numFmtId="49" fontId="15" fillId="4" borderId="10" xfId="0" applyNumberFormat="1" applyFont="1" applyFill="1" applyBorder="1" applyAlignment="1">
      <alignment horizontal="left" vertical="center"/>
    </xf>
    <xf numFmtId="0" fontId="13" fillId="5" borderId="52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</cellXfs>
  <cellStyles count="9">
    <cellStyle name="_x0007__x000b_" xfId="6" xr:uid="{AB1D7FCF-A1AD-4BC7-8A15-C2A180A6D22A}"/>
    <cellStyle name="Comma" xfId="1" builtinId="3"/>
    <cellStyle name="Currency" xfId="8" builtinId="4"/>
    <cellStyle name="Euro" xfId="4" xr:uid="{49CB91A7-1BBE-4731-AA39-0A8558AD80BF}"/>
    <cellStyle name="Euro 2" xfId="7" xr:uid="{759D5418-72DA-4177-A40D-FE01FCBAF786}"/>
    <cellStyle name="Hyperlink" xfId="5" builtinId="8"/>
    <cellStyle name="Normal" xfId="0" builtinId="0"/>
    <cellStyle name="Normale 2" xfId="3" xr:uid="{00000000-0005-0000-0000-000002000000}"/>
    <cellStyle name="Normale 3" xfId="2" xr:uid="{00000000-0005-0000-0000-000003000000}"/>
  </cellStyles>
  <dxfs count="2">
    <dxf>
      <font>
        <color rgb="FF9C0006"/>
      </font>
      <fill>
        <patternFill>
          <bgColor rgb="FFFFC000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2">
    <pageSetUpPr fitToPage="1"/>
  </sheetPr>
  <dimension ref="B1:T16"/>
  <sheetViews>
    <sheetView workbookViewId="0">
      <selection activeCell="I8" sqref="I8"/>
    </sheetView>
  </sheetViews>
  <sheetFormatPr defaultRowHeight="12.6"/>
  <cols>
    <col min="1" max="1" width="3.88671875" customWidth="1"/>
    <col min="2" max="2" width="12.88671875" customWidth="1"/>
    <col min="3" max="3" width="6" customWidth="1"/>
    <col min="4" max="4" width="9.109375" customWidth="1"/>
    <col min="5" max="5" width="13.109375" customWidth="1"/>
    <col min="6" max="7" width="7.109375" customWidth="1"/>
    <col min="8" max="8" width="2.88671875" customWidth="1"/>
    <col min="9" max="9" width="11.6640625" customWidth="1"/>
    <col min="10" max="10" width="7" customWidth="1"/>
    <col min="12" max="12" width="13.33203125" customWidth="1"/>
    <col min="14" max="14" width="5.44140625" customWidth="1"/>
    <col min="15" max="15" width="2.44140625" customWidth="1"/>
    <col min="16" max="16" width="14.109375" bestFit="1" customWidth="1"/>
    <col min="20" max="20" width="6.5546875" customWidth="1"/>
  </cols>
  <sheetData>
    <row r="1" spans="2:20" ht="19.2" customHeight="1"/>
    <row r="2" spans="2:20" s="1" customFormat="1" ht="38.4" customHeight="1">
      <c r="B2" s="288" t="s">
        <v>0</v>
      </c>
      <c r="C2" s="288"/>
      <c r="D2" s="289"/>
      <c r="E2" s="289"/>
      <c r="F2" s="288" t="s">
        <v>1</v>
      </c>
      <c r="G2" s="289"/>
      <c r="I2" s="288" t="s">
        <v>2</v>
      </c>
      <c r="J2" s="288"/>
      <c r="K2" s="291"/>
      <c r="L2" s="291"/>
      <c r="M2" s="288" t="s">
        <v>1</v>
      </c>
      <c r="N2" s="289"/>
      <c r="P2" s="288" t="s">
        <v>3</v>
      </c>
      <c r="Q2" s="291"/>
      <c r="R2" s="291"/>
      <c r="S2" s="288" t="s">
        <v>1</v>
      </c>
      <c r="T2" s="289"/>
    </row>
    <row r="3" spans="2:20" ht="25.2" customHeight="1">
      <c r="B3" s="5">
        <v>9645.7000000000007</v>
      </c>
      <c r="C3" s="5"/>
      <c r="D3" s="284" t="s">
        <v>4</v>
      </c>
      <c r="E3" s="285"/>
      <c r="F3" s="286" t="s">
        <v>5</v>
      </c>
      <c r="G3" s="287"/>
      <c r="I3" s="5">
        <v>2593.8000000000002</v>
      </c>
      <c r="J3" s="5"/>
      <c r="K3" s="284" t="s">
        <v>4</v>
      </c>
      <c r="L3" s="285"/>
      <c r="M3" s="286" t="str">
        <f>F3</f>
        <v>AVG AUG 2025</v>
      </c>
      <c r="N3" s="287"/>
      <c r="P3" s="3">
        <v>1103.73</v>
      </c>
      <c r="Q3" s="294" t="s">
        <v>6</v>
      </c>
      <c r="R3" s="289"/>
      <c r="S3" s="295" t="str">
        <f>F3</f>
        <v>AVG AUG 2025</v>
      </c>
      <c r="T3" s="296"/>
    </row>
    <row r="4" spans="2:20" ht="25.2" customHeight="1">
      <c r="B4" s="6">
        <v>340</v>
      </c>
      <c r="C4" s="6"/>
      <c r="D4" s="290" t="s">
        <v>7</v>
      </c>
      <c r="E4" s="285"/>
      <c r="F4" s="286"/>
      <c r="G4" s="287"/>
      <c r="I4" s="8">
        <v>0</v>
      </c>
      <c r="J4" s="8"/>
      <c r="K4" s="292" t="s">
        <v>7</v>
      </c>
      <c r="L4" s="293"/>
      <c r="M4" s="286"/>
      <c r="N4" s="287"/>
    </row>
    <row r="5" spans="2:20" ht="25.2" customHeight="1">
      <c r="B5" s="9">
        <f>((B3+B4)*(1+C5))</f>
        <v>10385.128000000001</v>
      </c>
      <c r="C5" s="4">
        <v>0.04</v>
      </c>
      <c r="D5" s="290" t="s">
        <v>8</v>
      </c>
      <c r="E5" s="285"/>
      <c r="F5" s="286"/>
      <c r="G5" s="287"/>
      <c r="I5" s="9">
        <f>(((I3+I4)*(1+J5)))</f>
        <v>2593.8000000000002</v>
      </c>
      <c r="J5" s="4">
        <v>0</v>
      </c>
      <c r="K5" s="284" t="s">
        <v>9</v>
      </c>
      <c r="L5" s="285"/>
      <c r="M5" s="286"/>
      <c r="N5" s="287"/>
    </row>
    <row r="6" spans="2:20" ht="25.2" customHeight="1">
      <c r="B6" s="9">
        <f>B5*(1+C6)</f>
        <v>11008.235680000002</v>
      </c>
      <c r="C6" s="4">
        <v>0.06</v>
      </c>
      <c r="D6" s="290" t="s">
        <v>10</v>
      </c>
      <c r="E6" s="285"/>
      <c r="F6" s="286"/>
      <c r="G6" s="287"/>
      <c r="I6" s="9">
        <f>I5*(1+J6)</f>
        <v>2593.8000000000002</v>
      </c>
      <c r="J6" s="4">
        <v>0</v>
      </c>
      <c r="K6" s="284" t="s">
        <v>11</v>
      </c>
      <c r="L6" s="285"/>
      <c r="M6" s="286"/>
      <c r="N6" s="287"/>
    </row>
    <row r="7" spans="2:20" ht="25.2" customHeight="1">
      <c r="B7" s="7">
        <v>1.1631</v>
      </c>
      <c r="C7" s="7"/>
      <c r="D7" s="290" t="s">
        <v>12</v>
      </c>
      <c r="E7" s="285"/>
      <c r="F7" s="286"/>
      <c r="G7" s="287"/>
      <c r="I7" s="7">
        <f>B7</f>
        <v>1.1631</v>
      </c>
      <c r="J7" s="7"/>
      <c r="K7" s="290" t="s">
        <v>12</v>
      </c>
      <c r="L7" s="285"/>
      <c r="M7" s="286"/>
      <c r="N7" s="287"/>
    </row>
    <row r="8" spans="2:20" ht="25.2" customHeight="1">
      <c r="B8" s="10">
        <f>IF(OR(B7=0,B7=""),0,(B6/B7)/1000)</f>
        <v>9.4645651104806134</v>
      </c>
      <c r="C8" s="7"/>
      <c r="D8" s="290" t="s">
        <v>13</v>
      </c>
      <c r="E8" s="285"/>
      <c r="F8" s="286"/>
      <c r="G8" s="287"/>
      <c r="I8" s="10">
        <f>IF(OR(I7=0,I7=""),0,I6/I7/1000)</f>
        <v>2.2300748001031723</v>
      </c>
      <c r="J8" s="7"/>
      <c r="K8" s="290" t="s">
        <v>14</v>
      </c>
      <c r="L8" s="285"/>
      <c r="M8" s="286"/>
      <c r="N8" s="287"/>
    </row>
    <row r="9" spans="2:20" ht="25.2" customHeight="1">
      <c r="B9" s="2"/>
      <c r="C9" s="2"/>
      <c r="D9" s="2"/>
      <c r="E9" s="2"/>
      <c r="F9" s="2"/>
      <c r="G9" s="2"/>
    </row>
    <row r="10" spans="2:20" ht="25.2" customHeight="1"/>
    <row r="11" spans="2:20" ht="25.2" customHeight="1"/>
    <row r="12" spans="2:20" ht="25.2" customHeight="1"/>
    <row r="13" spans="2:20" ht="25.2" customHeight="1"/>
    <row r="14" spans="2:20" ht="25.2" customHeight="1">
      <c r="B14" s="2"/>
      <c r="C14" s="2"/>
      <c r="D14" s="2"/>
      <c r="E14" s="2"/>
      <c r="F14" s="2"/>
    </row>
    <row r="15" spans="2:20" ht="25.2" customHeight="1"/>
    <row r="16" spans="2:20" ht="25.2" customHeight="1"/>
  </sheetData>
  <mergeCells count="22">
    <mergeCell ref="P2:R2"/>
    <mergeCell ref="F2:G2"/>
    <mergeCell ref="M2:N2"/>
    <mergeCell ref="S2:T2"/>
    <mergeCell ref="Q3:R3"/>
    <mergeCell ref="S3:T3"/>
    <mergeCell ref="K5:L5"/>
    <mergeCell ref="M3:N8"/>
    <mergeCell ref="B2:E2"/>
    <mergeCell ref="D3:E3"/>
    <mergeCell ref="D4:E4"/>
    <mergeCell ref="D5:E5"/>
    <mergeCell ref="D6:E6"/>
    <mergeCell ref="D7:E7"/>
    <mergeCell ref="D8:E8"/>
    <mergeCell ref="F3:G8"/>
    <mergeCell ref="I2:L2"/>
    <mergeCell ref="K4:L4"/>
    <mergeCell ref="K6:L6"/>
    <mergeCell ref="K7:L7"/>
    <mergeCell ref="K8:L8"/>
    <mergeCell ref="K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60D4-B900-4F8A-9AA7-58466905E106}">
  <dimension ref="A1:AE32"/>
  <sheetViews>
    <sheetView tabSelected="1" workbookViewId="0">
      <selection activeCell="B2" sqref="B2"/>
    </sheetView>
  </sheetViews>
  <sheetFormatPr defaultColWidth="16.5546875" defaultRowHeight="13.2"/>
  <cols>
    <col min="1" max="1" width="3.5546875" style="14" bestFit="1" customWidth="1"/>
    <col min="2" max="2" width="16.5546875" style="14"/>
    <col min="3" max="3" width="17.5546875" style="14" bestFit="1" customWidth="1"/>
    <col min="4" max="4" width="17.33203125" style="14" customWidth="1"/>
    <col min="5" max="5" width="6" style="14" bestFit="1" customWidth="1"/>
    <col min="6" max="6" width="7.5546875" style="14" customWidth="1"/>
    <col min="7" max="7" width="8" style="14" customWidth="1"/>
    <col min="8" max="8" width="8.5546875" style="14" customWidth="1"/>
    <col min="9" max="9" width="10.5546875" style="14" bestFit="1" customWidth="1"/>
    <col min="10" max="10" width="10" style="14" bestFit="1" customWidth="1"/>
    <col min="11" max="11" width="12" style="14" bestFit="1" customWidth="1"/>
    <col min="12" max="12" width="5" style="14" bestFit="1" customWidth="1"/>
    <col min="13" max="13" width="29.44140625" style="14" customWidth="1"/>
    <col min="14" max="14" width="10.33203125" style="14" customWidth="1"/>
    <col min="15" max="15" width="11.109375" style="14" customWidth="1"/>
    <col min="16" max="16" width="10" style="14" customWidth="1"/>
    <col min="17" max="17" width="9.33203125" style="14" customWidth="1"/>
    <col min="18" max="19" width="9.88671875" style="14" customWidth="1"/>
    <col min="20" max="20" width="9.33203125" style="14" customWidth="1"/>
    <col min="21" max="21" width="10.5546875" style="14" customWidth="1"/>
    <col min="22" max="22" width="11.33203125" style="14" bestFit="1" customWidth="1"/>
    <col min="23" max="23" width="9.5546875" style="14" customWidth="1"/>
    <col min="24" max="24" width="15.88671875" style="14" customWidth="1"/>
    <col min="25" max="25" width="10.109375" style="14" customWidth="1"/>
    <col min="26" max="26" width="10.33203125" style="14" customWidth="1"/>
    <col min="27" max="27" width="9.88671875" style="14" customWidth="1"/>
    <col min="28" max="28" width="10.6640625" style="14" customWidth="1"/>
    <col min="29" max="29" width="16.5546875" style="14"/>
    <col min="30" max="30" width="11" style="14" customWidth="1"/>
    <col min="31" max="31" width="11.33203125" style="14" customWidth="1"/>
    <col min="32" max="16384" width="16.5546875" style="14"/>
  </cols>
  <sheetData>
    <row r="1" spans="1:31">
      <c r="A1" s="168"/>
      <c r="B1" s="169"/>
      <c r="C1" s="169"/>
      <c r="D1" s="169"/>
      <c r="E1" s="169"/>
      <c r="F1" s="170"/>
      <c r="G1" s="169"/>
      <c r="H1" s="168"/>
      <c r="I1" s="169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71"/>
      <c r="AD1" s="172"/>
      <c r="AE1" s="168"/>
    </row>
    <row r="2" spans="1:31">
      <c r="A2" s="168"/>
      <c r="B2" s="173" t="s">
        <v>185</v>
      </c>
      <c r="D2" s="173"/>
      <c r="E2" s="174"/>
      <c r="F2" s="175"/>
      <c r="G2" s="174"/>
      <c r="H2" s="174"/>
      <c r="I2" s="174"/>
      <c r="J2" s="174"/>
      <c r="K2" s="174"/>
      <c r="L2" s="168"/>
      <c r="M2" s="168"/>
      <c r="N2" s="176"/>
      <c r="O2" s="176"/>
      <c r="P2" s="176"/>
      <c r="Q2" s="176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68"/>
      <c r="AC2" s="171"/>
      <c r="AD2" s="172"/>
      <c r="AE2" s="168"/>
    </row>
    <row r="3" spans="1:31">
      <c r="A3" s="168"/>
      <c r="B3" s="178"/>
      <c r="C3" s="178"/>
      <c r="D3" s="178"/>
      <c r="E3" s="178"/>
      <c r="F3" s="179"/>
      <c r="G3" s="178"/>
      <c r="H3" s="168"/>
      <c r="I3" s="169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71"/>
      <c r="AD3" s="172"/>
      <c r="AE3" s="168"/>
    </row>
    <row r="4" spans="1:31">
      <c r="A4" s="168"/>
      <c r="B4" s="180" t="s">
        <v>15</v>
      </c>
      <c r="C4" s="224"/>
      <c r="D4" s="181"/>
      <c r="E4" s="178"/>
      <c r="F4" s="170"/>
      <c r="G4" s="169"/>
      <c r="H4" s="169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71"/>
      <c r="AD4" s="172"/>
      <c r="AE4" s="168"/>
    </row>
    <row r="5" spans="1:31">
      <c r="A5" s="168"/>
      <c r="B5" s="182" t="s">
        <v>16</v>
      </c>
      <c r="C5" s="224"/>
      <c r="D5" s="181"/>
      <c r="E5" s="183"/>
      <c r="F5" s="170"/>
      <c r="G5" s="169"/>
      <c r="H5" s="169"/>
      <c r="I5" s="169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71"/>
      <c r="AD5" s="172"/>
      <c r="AE5" s="168"/>
    </row>
    <row r="6" spans="1:31">
      <c r="A6" s="168"/>
      <c r="B6" s="182" t="s">
        <v>17</v>
      </c>
      <c r="C6" s="225"/>
      <c r="D6" s="181"/>
      <c r="E6" s="184"/>
      <c r="F6" s="179"/>
      <c r="G6" s="169"/>
      <c r="H6" s="169"/>
      <c r="I6" s="169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9"/>
      <c r="AC6" s="171"/>
      <c r="AD6" s="172"/>
      <c r="AE6" s="168"/>
    </row>
    <row r="7" spans="1:31">
      <c r="A7" s="168"/>
      <c r="B7" s="182" t="s">
        <v>18</v>
      </c>
      <c r="C7" s="226"/>
      <c r="D7" s="185"/>
      <c r="E7" s="184"/>
      <c r="F7" s="179"/>
      <c r="G7" s="184"/>
      <c r="H7" s="168"/>
      <c r="I7" s="169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9"/>
      <c r="AC7" s="171"/>
      <c r="AD7" s="172"/>
      <c r="AE7" s="168"/>
    </row>
    <row r="8" spans="1:31">
      <c r="A8" s="168"/>
      <c r="B8" s="182" t="s">
        <v>19</v>
      </c>
      <c r="C8" s="227"/>
      <c r="D8" s="185"/>
      <c r="E8" s="184"/>
      <c r="F8" s="179"/>
      <c r="G8" s="184"/>
      <c r="H8" s="168"/>
      <c r="I8" s="169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9"/>
      <c r="AC8" s="171"/>
      <c r="AD8" s="172"/>
      <c r="AE8" s="168"/>
    </row>
    <row r="9" spans="1:31" ht="13.8" thickBot="1">
      <c r="A9" s="168"/>
      <c r="B9" s="181"/>
      <c r="C9" s="231"/>
      <c r="D9" s="185"/>
      <c r="E9" s="184"/>
      <c r="F9" s="179"/>
      <c r="G9" s="184"/>
      <c r="H9" s="168"/>
      <c r="I9" s="169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9"/>
      <c r="AC9" s="171"/>
      <c r="AD9" s="172"/>
      <c r="AE9" s="168"/>
    </row>
    <row r="10" spans="1:31" ht="13.5" customHeight="1" thickBot="1">
      <c r="A10" s="273" t="s">
        <v>20</v>
      </c>
      <c r="B10" s="274"/>
      <c r="C10" s="274"/>
      <c r="D10" s="274"/>
      <c r="E10" s="274"/>
      <c r="F10" s="274"/>
      <c r="G10" s="274"/>
      <c r="H10" s="275"/>
      <c r="I10" s="270" t="s">
        <v>21</v>
      </c>
      <c r="J10" s="271"/>
      <c r="K10" s="271"/>
      <c r="L10" s="271"/>
      <c r="M10" s="271"/>
      <c r="N10" s="271"/>
      <c r="O10" s="271"/>
      <c r="P10" s="272"/>
      <c r="Q10" s="270" t="s">
        <v>22</v>
      </c>
      <c r="R10" s="272"/>
      <c r="S10" s="271" t="s">
        <v>23</v>
      </c>
      <c r="T10" s="271"/>
      <c r="U10" s="272"/>
      <c r="V10" s="270" t="s">
        <v>24</v>
      </c>
      <c r="W10" s="271"/>
      <c r="X10" s="271"/>
      <c r="Y10" s="272"/>
      <c r="Z10" s="270" t="s">
        <v>25</v>
      </c>
      <c r="AA10" s="271"/>
      <c r="AB10" s="236" t="s">
        <v>26</v>
      </c>
      <c r="AC10" s="236" t="s">
        <v>27</v>
      </c>
      <c r="AD10" s="270" t="s">
        <v>28</v>
      </c>
      <c r="AE10" s="272"/>
    </row>
    <row r="11" spans="1:31" ht="39.6">
      <c r="A11" s="228" t="s">
        <v>29</v>
      </c>
      <c r="B11" s="228" t="s">
        <v>30</v>
      </c>
      <c r="C11" s="228" t="s">
        <v>31</v>
      </c>
      <c r="D11" s="228" t="s">
        <v>32</v>
      </c>
      <c r="E11" s="228" t="s">
        <v>19</v>
      </c>
      <c r="F11" s="228" t="s">
        <v>33</v>
      </c>
      <c r="G11" s="116" t="s">
        <v>34</v>
      </c>
      <c r="H11" s="116" t="s">
        <v>35</v>
      </c>
      <c r="I11" s="116" t="s">
        <v>36</v>
      </c>
      <c r="J11" s="116" t="s">
        <v>37</v>
      </c>
      <c r="K11" s="116" t="s">
        <v>38</v>
      </c>
      <c r="L11" s="116" t="s">
        <v>39</v>
      </c>
      <c r="M11" s="116" t="s">
        <v>40</v>
      </c>
      <c r="N11" s="116" t="s">
        <v>41</v>
      </c>
      <c r="O11" s="116" t="s">
        <v>42</v>
      </c>
      <c r="P11" s="229" t="s">
        <v>43</v>
      </c>
      <c r="Q11" s="229" t="s">
        <v>44</v>
      </c>
      <c r="R11" s="116" t="s">
        <v>45</v>
      </c>
      <c r="S11" s="116" t="s">
        <v>46</v>
      </c>
      <c r="T11" s="116" t="s">
        <v>47</v>
      </c>
      <c r="U11" s="116" t="s">
        <v>48</v>
      </c>
      <c r="V11" s="116" t="s">
        <v>40</v>
      </c>
      <c r="W11" s="116" t="s">
        <v>49</v>
      </c>
      <c r="X11" s="116" t="s">
        <v>40</v>
      </c>
      <c r="Y11" s="116" t="s">
        <v>49</v>
      </c>
      <c r="Z11" s="229" t="s">
        <v>50</v>
      </c>
      <c r="AA11" s="229" t="s">
        <v>51</v>
      </c>
      <c r="AB11" s="232" t="s">
        <v>52</v>
      </c>
      <c r="AC11" s="232" t="s">
        <v>53</v>
      </c>
      <c r="AD11" s="229" t="s">
        <v>54</v>
      </c>
      <c r="AE11" s="230" t="s">
        <v>55</v>
      </c>
    </row>
    <row r="12" spans="1:31" ht="14.4" customHeight="1">
      <c r="A12" s="249">
        <v>1</v>
      </c>
      <c r="B12" s="237"/>
      <c r="C12" s="237"/>
      <c r="D12" s="237"/>
      <c r="E12" s="238"/>
      <c r="F12" s="239"/>
      <c r="G12" s="239"/>
      <c r="H12" s="239"/>
      <c r="I12" s="240"/>
      <c r="J12" s="240"/>
      <c r="K12" s="240"/>
      <c r="L12" s="241"/>
      <c r="M12" s="238"/>
      <c r="N12" s="242"/>
      <c r="O12" s="243"/>
      <c r="P12" s="243"/>
      <c r="Q12" s="243"/>
      <c r="R12" s="243"/>
      <c r="S12" s="239"/>
      <c r="T12" s="244"/>
      <c r="U12" s="243"/>
      <c r="V12" s="245"/>
      <c r="W12" s="243"/>
      <c r="X12" s="240"/>
      <c r="Y12" s="243"/>
      <c r="Z12" s="243"/>
      <c r="AA12" s="243"/>
      <c r="AB12" s="246">
        <f>SUM(P12:R12)+SUM(T12:U12)+W12+Y12+Z12+AA12</f>
        <v>0</v>
      </c>
      <c r="AC12" s="247"/>
      <c r="AD12" s="248"/>
      <c r="AE12" s="248"/>
    </row>
    <row r="13" spans="1:31" ht="14.4" customHeight="1">
      <c r="A13" s="249">
        <v>2</v>
      </c>
      <c r="B13" s="186"/>
      <c r="C13" s="186"/>
      <c r="D13" s="186"/>
      <c r="E13" s="93"/>
      <c r="F13" s="187"/>
      <c r="G13" s="187"/>
      <c r="H13" s="187"/>
      <c r="I13" s="188"/>
      <c r="J13" s="188"/>
      <c r="K13" s="188"/>
      <c r="L13" s="189"/>
      <c r="M13" s="93"/>
      <c r="N13" s="190"/>
      <c r="O13" s="191"/>
      <c r="P13" s="191"/>
      <c r="Q13" s="191"/>
      <c r="R13" s="191"/>
      <c r="S13" s="187"/>
      <c r="T13" s="192"/>
      <c r="U13" s="191"/>
      <c r="V13" s="193"/>
      <c r="W13" s="191"/>
      <c r="X13" s="188"/>
      <c r="Y13" s="191"/>
      <c r="Z13" s="191"/>
      <c r="AA13" s="191"/>
      <c r="AB13" s="233">
        <f>SUM(P13:R13)+SUM(T13:U13)+W13+Y13+Z13+AA13</f>
        <v>0</v>
      </c>
      <c r="AC13" s="194"/>
      <c r="AD13" s="195"/>
      <c r="AE13" s="195"/>
    </row>
    <row r="14" spans="1:31">
      <c r="A14" s="249">
        <v>3</v>
      </c>
      <c r="B14" s="186"/>
      <c r="C14" s="186"/>
      <c r="D14" s="186"/>
      <c r="E14" s="93"/>
      <c r="F14" s="187"/>
      <c r="G14" s="187"/>
      <c r="H14" s="187"/>
      <c r="I14" s="188"/>
      <c r="J14" s="188"/>
      <c r="K14" s="188"/>
      <c r="L14" s="189"/>
      <c r="M14" s="93"/>
      <c r="N14" s="190"/>
      <c r="O14" s="191"/>
      <c r="P14" s="191"/>
      <c r="Q14" s="191"/>
      <c r="R14" s="191"/>
      <c r="S14" s="187"/>
      <c r="T14" s="192"/>
      <c r="U14" s="191"/>
      <c r="V14" s="193"/>
      <c r="W14" s="191"/>
      <c r="X14" s="188"/>
      <c r="Y14" s="191"/>
      <c r="Z14" s="191"/>
      <c r="AA14" s="191"/>
      <c r="AB14" s="233">
        <f>SUM(P14:R14)+SUM(T14:U14)+W14+Y14+Z14+AA14</f>
        <v>0</v>
      </c>
      <c r="AC14" s="194"/>
      <c r="AD14" s="195"/>
      <c r="AE14" s="195"/>
    </row>
    <row r="15" spans="1:31">
      <c r="A15" s="249">
        <v>4</v>
      </c>
      <c r="B15" s="93"/>
      <c r="C15" s="93"/>
      <c r="D15" s="93"/>
      <c r="E15" s="93"/>
      <c r="F15" s="187"/>
      <c r="G15" s="187"/>
      <c r="H15" s="187"/>
      <c r="I15" s="188"/>
      <c r="J15" s="188"/>
      <c r="K15" s="188"/>
      <c r="L15" s="189"/>
      <c r="M15" s="197"/>
      <c r="N15" s="190"/>
      <c r="O15" s="191"/>
      <c r="P15" s="191"/>
      <c r="Q15" s="191"/>
      <c r="R15" s="191"/>
      <c r="S15" s="187"/>
      <c r="T15" s="192"/>
      <c r="U15" s="191"/>
      <c r="V15" s="193"/>
      <c r="W15" s="191"/>
      <c r="X15" s="188"/>
      <c r="Y15" s="191"/>
      <c r="Z15" s="191"/>
      <c r="AA15" s="191"/>
      <c r="AB15" s="234"/>
      <c r="AC15" s="194"/>
      <c r="AD15" s="196"/>
      <c r="AE15" s="196"/>
    </row>
    <row r="16" spans="1:31">
      <c r="A16" s="249">
        <v>5</v>
      </c>
      <c r="B16" s="93"/>
      <c r="C16" s="93"/>
      <c r="D16" s="93"/>
      <c r="E16" s="93"/>
      <c r="F16" s="187"/>
      <c r="G16" s="187"/>
      <c r="H16" s="187"/>
      <c r="I16" s="188"/>
      <c r="J16" s="188"/>
      <c r="K16" s="188"/>
      <c r="L16" s="189"/>
      <c r="M16" s="197"/>
      <c r="N16" s="190"/>
      <c r="O16" s="191"/>
      <c r="P16" s="191"/>
      <c r="Q16" s="191"/>
      <c r="R16" s="191"/>
      <c r="S16" s="187"/>
      <c r="T16" s="192"/>
      <c r="U16" s="191"/>
      <c r="V16" s="193"/>
      <c r="W16" s="191"/>
      <c r="X16" s="188"/>
      <c r="Y16" s="191"/>
      <c r="Z16" s="191"/>
      <c r="AA16" s="191"/>
      <c r="AB16" s="234"/>
      <c r="AC16" s="194"/>
      <c r="AD16" s="196"/>
      <c r="AE16" s="196"/>
    </row>
    <row r="17" spans="1:31">
      <c r="A17" s="249">
        <v>6</v>
      </c>
      <c r="B17" s="93"/>
      <c r="C17" s="93"/>
      <c r="D17" s="93"/>
      <c r="E17" s="93"/>
      <c r="F17" s="187"/>
      <c r="G17" s="187"/>
      <c r="H17" s="187"/>
      <c r="I17" s="188"/>
      <c r="J17" s="188"/>
      <c r="K17" s="188"/>
      <c r="L17" s="189"/>
      <c r="M17" s="197"/>
      <c r="N17" s="190"/>
      <c r="O17" s="191"/>
      <c r="P17" s="191"/>
      <c r="Q17" s="191"/>
      <c r="R17" s="191"/>
      <c r="S17" s="187"/>
      <c r="T17" s="192"/>
      <c r="U17" s="191"/>
      <c r="V17" s="193"/>
      <c r="W17" s="191"/>
      <c r="X17" s="188"/>
      <c r="Y17" s="191"/>
      <c r="Z17" s="191"/>
      <c r="AA17" s="191"/>
      <c r="AB17" s="234"/>
      <c r="AC17" s="194"/>
      <c r="AD17" s="196"/>
      <c r="AE17" s="196"/>
    </row>
    <row r="18" spans="1:31">
      <c r="A18" s="249">
        <v>7</v>
      </c>
      <c r="B18" s="93"/>
      <c r="C18" s="93"/>
      <c r="D18" s="93"/>
      <c r="E18" s="93"/>
      <c r="F18" s="187"/>
      <c r="G18" s="187"/>
      <c r="H18" s="187"/>
      <c r="I18" s="188"/>
      <c r="J18" s="188"/>
      <c r="K18" s="188"/>
      <c r="L18" s="189"/>
      <c r="M18" s="197"/>
      <c r="N18" s="190"/>
      <c r="O18" s="191"/>
      <c r="P18" s="191"/>
      <c r="Q18" s="191"/>
      <c r="R18" s="191"/>
      <c r="S18" s="187"/>
      <c r="T18" s="192"/>
      <c r="U18" s="191"/>
      <c r="V18" s="193"/>
      <c r="W18" s="191"/>
      <c r="X18" s="93"/>
      <c r="Y18" s="191"/>
      <c r="Z18" s="191"/>
      <c r="AA18" s="191"/>
      <c r="AB18" s="234"/>
      <c r="AC18" s="194"/>
      <c r="AD18" s="196"/>
      <c r="AE18" s="196"/>
    </row>
    <row r="19" spans="1:31">
      <c r="A19" s="249">
        <v>8</v>
      </c>
      <c r="B19" s="198"/>
      <c r="C19" s="198"/>
      <c r="D19" s="198"/>
      <c r="E19" s="198"/>
      <c r="F19" s="199"/>
      <c r="G19" s="199"/>
      <c r="H19" s="199"/>
      <c r="I19" s="200"/>
      <c r="J19" s="200"/>
      <c r="K19" s="200"/>
      <c r="L19" s="201"/>
      <c r="M19" s="201"/>
      <c r="N19" s="202"/>
      <c r="O19" s="203"/>
      <c r="P19" s="203"/>
      <c r="Q19" s="191"/>
      <c r="R19" s="203"/>
      <c r="S19" s="199"/>
      <c r="T19" s="204"/>
      <c r="U19" s="203"/>
      <c r="V19" s="205"/>
      <c r="W19" s="203"/>
      <c r="X19" s="198"/>
      <c r="Y19" s="203"/>
      <c r="Z19" s="203"/>
      <c r="AA19" s="203"/>
      <c r="AB19" s="235"/>
      <c r="AC19" s="206"/>
      <c r="AD19" s="207"/>
      <c r="AE19" s="207"/>
    </row>
    <row r="20" spans="1:31">
      <c r="A20" s="249">
        <v>9</v>
      </c>
      <c r="B20" s="198"/>
      <c r="C20" s="198"/>
      <c r="D20" s="198"/>
      <c r="E20" s="198"/>
      <c r="F20" s="199"/>
      <c r="G20" s="199"/>
      <c r="H20" s="199"/>
      <c r="I20" s="200"/>
      <c r="J20" s="200"/>
      <c r="K20" s="200"/>
      <c r="L20" s="201"/>
      <c r="M20" s="201"/>
      <c r="N20" s="202"/>
      <c r="O20" s="203"/>
      <c r="P20" s="203"/>
      <c r="Q20" s="191"/>
      <c r="R20" s="203"/>
      <c r="S20" s="199"/>
      <c r="T20" s="204"/>
      <c r="U20" s="203"/>
      <c r="V20" s="205"/>
      <c r="W20" s="203"/>
      <c r="X20" s="198"/>
      <c r="Y20" s="203"/>
      <c r="Z20" s="203"/>
      <c r="AA20" s="203"/>
      <c r="AB20" s="235"/>
      <c r="AC20" s="206"/>
      <c r="AD20" s="207"/>
      <c r="AE20" s="207"/>
    </row>
    <row r="21" spans="1:31">
      <c r="A21" s="249">
        <v>10</v>
      </c>
      <c r="B21" s="93"/>
      <c r="C21" s="93"/>
      <c r="D21" s="93"/>
      <c r="E21" s="93"/>
      <c r="F21" s="187"/>
      <c r="G21" s="187"/>
      <c r="H21" s="187"/>
      <c r="I21" s="188"/>
      <c r="J21" s="188"/>
      <c r="K21" s="188"/>
      <c r="L21" s="189"/>
      <c r="M21" s="189"/>
      <c r="N21" s="190"/>
      <c r="O21" s="191"/>
      <c r="P21" s="191"/>
      <c r="Q21" s="191"/>
      <c r="R21" s="191"/>
      <c r="S21" s="187"/>
      <c r="T21" s="192"/>
      <c r="U21" s="191"/>
      <c r="V21" s="193"/>
      <c r="W21" s="191"/>
      <c r="X21" s="93"/>
      <c r="Y21" s="191"/>
      <c r="Z21" s="191"/>
      <c r="AA21" s="191"/>
      <c r="AB21" s="234"/>
      <c r="AC21" s="194"/>
      <c r="AD21" s="196"/>
      <c r="AE21" s="196"/>
    </row>
    <row r="22" spans="1:31">
      <c r="A22" s="168"/>
      <c r="B22" s="208"/>
      <c r="C22" s="209"/>
      <c r="D22" s="209"/>
      <c r="E22" s="209"/>
      <c r="F22" s="210"/>
      <c r="G22" s="210"/>
      <c r="H22" s="210"/>
      <c r="I22" s="211"/>
      <c r="J22" s="211"/>
      <c r="K22" s="211"/>
      <c r="L22" s="212"/>
      <c r="M22" s="212"/>
      <c r="N22" s="213"/>
      <c r="O22" s="214"/>
      <c r="P22" s="214"/>
      <c r="Q22" s="214"/>
      <c r="R22" s="214"/>
      <c r="S22" s="210"/>
      <c r="T22" s="215"/>
      <c r="U22" s="214"/>
      <c r="V22" s="216"/>
      <c r="W22" s="214"/>
      <c r="X22" s="209"/>
      <c r="Y22" s="214"/>
      <c r="Z22" s="214"/>
      <c r="AA22" s="214"/>
      <c r="AB22" s="214"/>
      <c r="AC22" s="217"/>
      <c r="AD22" s="218"/>
      <c r="AE22" s="218"/>
    </row>
    <row r="23" spans="1:31">
      <c r="A23" s="168"/>
      <c r="B23" s="219" t="s">
        <v>56</v>
      </c>
      <c r="C23" s="280" t="s">
        <v>57</v>
      </c>
      <c r="D23" s="281"/>
      <c r="E23" s="281"/>
      <c r="F23" s="281"/>
      <c r="G23" s="281"/>
      <c r="H23" s="282"/>
      <c r="I23" s="172"/>
      <c r="J23" s="168"/>
      <c r="K23" s="220"/>
      <c r="L23" s="220"/>
      <c r="M23" s="168"/>
      <c r="N23" s="168"/>
      <c r="O23" s="168"/>
      <c r="P23" s="168"/>
      <c r="Q23" s="168"/>
      <c r="R23" s="168"/>
      <c r="S23" s="168"/>
      <c r="T23" s="168"/>
      <c r="U23" s="178"/>
      <c r="V23" s="168"/>
      <c r="W23" s="168"/>
      <c r="X23" s="168"/>
      <c r="Y23" s="168"/>
      <c r="Z23" s="168"/>
      <c r="AA23" s="168"/>
      <c r="AB23" s="168"/>
      <c r="AC23" s="169"/>
      <c r="AD23" s="168"/>
      <c r="AE23" s="168"/>
    </row>
    <row r="24" spans="1:31">
      <c r="A24" s="168"/>
      <c r="B24" s="221" t="s">
        <v>28</v>
      </c>
      <c r="C24" s="280" t="s">
        <v>58</v>
      </c>
      <c r="D24" s="281"/>
      <c r="E24" s="281"/>
      <c r="F24" s="281"/>
      <c r="G24" s="281"/>
      <c r="H24" s="282"/>
      <c r="I24" s="172"/>
      <c r="J24" s="168"/>
      <c r="K24" s="220"/>
      <c r="L24" s="220"/>
      <c r="M24" s="168"/>
      <c r="N24" s="168"/>
      <c r="O24" s="168"/>
      <c r="P24" s="168"/>
      <c r="Q24" s="168"/>
      <c r="R24" s="168"/>
      <c r="S24" s="168"/>
      <c r="T24" s="168"/>
      <c r="U24" s="178"/>
      <c r="V24" s="168"/>
      <c r="W24" s="168"/>
      <c r="X24" s="168"/>
      <c r="Y24" s="168"/>
      <c r="Z24" s="168"/>
      <c r="AA24" s="168"/>
      <c r="AB24" s="168"/>
      <c r="AC24" s="169"/>
      <c r="AD24" s="168"/>
      <c r="AE24" s="168"/>
    </row>
    <row r="25" spans="1:31">
      <c r="A25" s="168"/>
      <c r="B25" s="219" t="s">
        <v>59</v>
      </c>
      <c r="C25" s="280" t="s">
        <v>60</v>
      </c>
      <c r="D25" s="281"/>
      <c r="E25" s="281"/>
      <c r="F25" s="281"/>
      <c r="G25" s="281"/>
      <c r="H25" s="282"/>
      <c r="I25" s="172"/>
      <c r="J25" s="168"/>
      <c r="K25" s="220"/>
      <c r="L25" s="220"/>
      <c r="M25" s="168"/>
      <c r="N25" s="168"/>
      <c r="O25" s="168"/>
      <c r="P25" s="168"/>
      <c r="Q25" s="168"/>
      <c r="R25" s="168"/>
      <c r="S25" s="168"/>
      <c r="T25" s="168"/>
      <c r="U25" s="178"/>
      <c r="V25" s="168"/>
      <c r="W25" s="168"/>
      <c r="X25" s="168"/>
      <c r="Y25" s="168"/>
      <c r="Z25" s="168"/>
      <c r="AA25" s="168"/>
      <c r="AB25" s="168"/>
      <c r="AC25" s="169"/>
      <c r="AD25" s="168"/>
      <c r="AE25" s="168"/>
    </row>
    <row r="26" spans="1:31">
      <c r="A26" s="168"/>
      <c r="B26" s="219" t="s">
        <v>61</v>
      </c>
      <c r="C26" s="280" t="s">
        <v>62</v>
      </c>
      <c r="D26" s="281"/>
      <c r="E26" s="281"/>
      <c r="F26" s="281"/>
      <c r="G26" s="281"/>
      <c r="H26" s="282"/>
      <c r="I26" s="172"/>
      <c r="J26" s="168"/>
      <c r="K26" s="220"/>
      <c r="L26" s="220"/>
      <c r="M26" s="168"/>
      <c r="N26" s="168"/>
      <c r="O26" s="168"/>
      <c r="P26" s="168"/>
      <c r="Q26" s="168"/>
      <c r="R26" s="168"/>
      <c r="S26" s="168"/>
      <c r="T26" s="168"/>
      <c r="U26" s="178"/>
      <c r="V26" s="168"/>
      <c r="W26" s="168"/>
      <c r="X26" s="168"/>
      <c r="Y26" s="168"/>
      <c r="Z26" s="168"/>
      <c r="AA26" s="168"/>
      <c r="AB26" s="168"/>
      <c r="AC26" s="169"/>
      <c r="AD26" s="168"/>
      <c r="AE26" s="168"/>
    </row>
    <row r="27" spans="1:31">
      <c r="A27" s="168"/>
      <c r="B27" s="219" t="s">
        <v>63</v>
      </c>
      <c r="C27" s="283" t="s">
        <v>64</v>
      </c>
      <c r="D27" s="283"/>
      <c r="E27" s="283"/>
      <c r="F27" s="283"/>
      <c r="G27" s="283"/>
      <c r="H27" s="283"/>
      <c r="I27" s="172"/>
      <c r="J27" s="168"/>
      <c r="K27" s="220"/>
      <c r="L27" s="220"/>
      <c r="M27" s="168"/>
      <c r="N27" s="168"/>
      <c r="O27" s="168"/>
      <c r="P27" s="168"/>
      <c r="Q27" s="168"/>
      <c r="R27" s="168"/>
      <c r="S27" s="168"/>
      <c r="T27" s="168"/>
      <c r="U27" s="178"/>
      <c r="V27" s="168"/>
      <c r="W27" s="168"/>
      <c r="X27" s="168"/>
      <c r="Y27" s="168"/>
      <c r="Z27" s="168"/>
      <c r="AA27" s="168"/>
      <c r="AB27" s="168"/>
      <c r="AC27" s="169"/>
      <c r="AD27" s="168"/>
      <c r="AE27" s="168"/>
    </row>
    <row r="28" spans="1:31">
      <c r="A28" s="168"/>
      <c r="B28" s="222" t="s">
        <v>65</v>
      </c>
      <c r="C28" s="276"/>
      <c r="D28" s="277"/>
      <c r="E28" s="277"/>
      <c r="F28" s="277"/>
      <c r="G28" s="277"/>
      <c r="H28" s="278"/>
      <c r="I28" s="172"/>
      <c r="J28" s="168"/>
      <c r="K28" s="220"/>
      <c r="L28" s="220"/>
      <c r="M28" s="168"/>
      <c r="N28" s="168"/>
      <c r="O28" s="168"/>
      <c r="P28" s="168"/>
      <c r="Q28" s="168"/>
      <c r="R28" s="168"/>
      <c r="S28" s="168"/>
      <c r="T28" s="168"/>
      <c r="U28" s="178"/>
      <c r="V28" s="168"/>
      <c r="W28" s="168"/>
      <c r="X28" s="168"/>
      <c r="Y28" s="168"/>
      <c r="Z28" s="168"/>
      <c r="AA28" s="168"/>
      <c r="AB28" s="168"/>
      <c r="AC28" s="169"/>
      <c r="AD28" s="168"/>
      <c r="AE28" s="168"/>
    </row>
    <row r="29" spans="1:31">
      <c r="A29" s="168"/>
      <c r="B29" s="279"/>
      <c r="C29" s="279"/>
      <c r="D29" s="279"/>
      <c r="E29" s="279"/>
      <c r="F29" s="279"/>
      <c r="G29" s="279"/>
      <c r="H29" s="279"/>
      <c r="I29" s="172"/>
      <c r="J29" s="168"/>
      <c r="K29" s="220"/>
      <c r="L29" s="220"/>
      <c r="M29" s="168"/>
      <c r="N29" s="168"/>
      <c r="O29" s="168"/>
      <c r="P29" s="168"/>
      <c r="Q29" s="168"/>
      <c r="R29" s="168"/>
      <c r="S29" s="168"/>
      <c r="T29" s="168"/>
      <c r="U29" s="178"/>
      <c r="V29" s="168"/>
      <c r="W29" s="168"/>
      <c r="X29" s="168"/>
      <c r="Y29" s="168"/>
      <c r="Z29" s="168"/>
      <c r="AA29" s="168"/>
      <c r="AB29" s="168"/>
      <c r="AC29" s="169"/>
      <c r="AD29" s="168"/>
      <c r="AE29" s="168"/>
    </row>
    <row r="30" spans="1:31">
      <c r="A30" s="168"/>
      <c r="B30" s="223"/>
      <c r="C30" s="169"/>
      <c r="D30" s="169"/>
      <c r="E30" s="169"/>
      <c r="F30" s="170"/>
      <c r="G30" s="169"/>
      <c r="H30" s="168"/>
      <c r="I30" s="172"/>
      <c r="J30" s="168"/>
      <c r="K30" s="220"/>
      <c r="L30" s="220"/>
      <c r="M30" s="168"/>
      <c r="N30" s="168"/>
      <c r="O30" s="168"/>
      <c r="P30" s="168"/>
      <c r="Q30" s="168"/>
      <c r="R30" s="168"/>
      <c r="S30" s="168"/>
      <c r="T30" s="168"/>
      <c r="U30" s="178"/>
      <c r="V30" s="168"/>
      <c r="W30" s="168"/>
      <c r="X30" s="168"/>
      <c r="Y30" s="168"/>
      <c r="Z30" s="168"/>
      <c r="AA30" s="168"/>
      <c r="AB30" s="168"/>
      <c r="AC30" s="169"/>
      <c r="AD30" s="168"/>
      <c r="AE30" s="168"/>
    </row>
    <row r="31" spans="1:31">
      <c r="A31" s="168"/>
      <c r="B31" s="168"/>
      <c r="C31" s="169"/>
      <c r="D31" s="169"/>
      <c r="E31" s="169"/>
      <c r="F31" s="170"/>
      <c r="G31" s="169"/>
      <c r="H31" s="168"/>
      <c r="I31" s="172"/>
      <c r="J31" s="168"/>
      <c r="K31" s="220"/>
      <c r="L31" s="220"/>
      <c r="M31" s="168"/>
      <c r="N31" s="168"/>
      <c r="O31" s="168"/>
      <c r="P31" s="168"/>
      <c r="Q31" s="168"/>
      <c r="R31" s="168"/>
      <c r="S31" s="168"/>
      <c r="T31" s="168"/>
      <c r="U31" s="178"/>
      <c r="V31" s="168"/>
      <c r="W31" s="168"/>
      <c r="X31" s="168"/>
      <c r="Y31" s="168"/>
      <c r="Z31" s="168"/>
      <c r="AA31" s="168"/>
      <c r="AB31" s="168"/>
      <c r="AC31" s="169"/>
      <c r="AD31" s="168"/>
      <c r="AE31" s="168"/>
    </row>
    <row r="32" spans="1:31">
      <c r="A32" s="168"/>
      <c r="B32" s="168"/>
      <c r="C32" s="169"/>
      <c r="D32" s="169"/>
      <c r="E32" s="169"/>
      <c r="F32" s="170"/>
      <c r="G32" s="169"/>
      <c r="H32" s="168"/>
      <c r="I32" s="172"/>
      <c r="J32" s="168"/>
      <c r="K32" s="220"/>
      <c r="L32" s="220"/>
      <c r="M32" s="168"/>
      <c r="N32" s="168"/>
      <c r="O32" s="168"/>
      <c r="P32" s="168"/>
      <c r="Q32" s="168"/>
      <c r="R32" s="168"/>
      <c r="S32" s="168"/>
      <c r="T32" s="168"/>
      <c r="U32" s="178"/>
      <c r="V32" s="168"/>
      <c r="W32" s="168"/>
      <c r="X32" s="168"/>
      <c r="Y32" s="168"/>
      <c r="Z32" s="168"/>
      <c r="AA32" s="168"/>
      <c r="AB32" s="168"/>
      <c r="AC32" s="169"/>
      <c r="AD32" s="168"/>
      <c r="AE32" s="168"/>
    </row>
  </sheetData>
  <mergeCells count="14">
    <mergeCell ref="C28:H28"/>
    <mergeCell ref="B29:H29"/>
    <mergeCell ref="C23:H23"/>
    <mergeCell ref="C24:H24"/>
    <mergeCell ref="C25:H25"/>
    <mergeCell ref="C26:H26"/>
    <mergeCell ref="C27:H27"/>
    <mergeCell ref="Z10:AA10"/>
    <mergeCell ref="AD10:AE10"/>
    <mergeCell ref="A10:H10"/>
    <mergeCell ref="S10:U10"/>
    <mergeCell ref="V10:Y10"/>
    <mergeCell ref="I10:P10"/>
    <mergeCell ref="Q10:R10"/>
  </mergeCells>
  <conditionalFormatting sqref="L12:L22">
    <cfRule type="containsText" dxfId="1" priority="1" stopIfTrue="1" operator="containsText" text="AL">
      <formula>NOT(ISERROR(SEARCH("AL",L12)))</formula>
    </cfRule>
    <cfRule type="containsText" dxfId="0" priority="2" stopIfTrue="1" operator="containsText" text="CU">
      <formula>NOT(ISERROR(SEARCH("CU",L12)))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pageSetUpPr fitToPage="1"/>
  </sheetPr>
  <dimension ref="A1:N50"/>
  <sheetViews>
    <sheetView zoomScaleNormal="100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N19" sqref="N19"/>
    </sheetView>
  </sheetViews>
  <sheetFormatPr defaultColWidth="9.109375" defaultRowHeight="13.2"/>
  <cols>
    <col min="1" max="1" width="5.6640625" style="14" bestFit="1" customWidth="1"/>
    <col min="2" max="2" width="38.5546875" style="14" customWidth="1"/>
    <col min="3" max="5" width="11.6640625" style="14" customWidth="1"/>
    <col min="6" max="6" width="12.5546875" style="14" customWidth="1"/>
    <col min="7" max="7" width="11.6640625" style="14" customWidth="1"/>
    <col min="8" max="9" width="10.6640625" style="14" customWidth="1"/>
    <col min="10" max="11" width="11.33203125" style="14" customWidth="1"/>
    <col min="12" max="12" width="9.88671875" style="14" customWidth="1"/>
    <col min="13" max="13" width="10.44140625" style="14" customWidth="1"/>
    <col min="14" max="14" width="82.6640625" style="13" customWidth="1"/>
    <col min="15" max="16384" width="9.109375" style="14"/>
  </cols>
  <sheetData>
    <row r="1" spans="1:14" ht="13.8" thickBot="1">
      <c r="B1" s="36" t="s">
        <v>66</v>
      </c>
      <c r="C1" s="11"/>
      <c r="D1" s="11"/>
      <c r="E1" s="11"/>
      <c r="F1" s="12"/>
      <c r="G1" s="37" t="s">
        <v>67</v>
      </c>
      <c r="H1" s="47" t="s">
        <v>68</v>
      </c>
      <c r="I1" s="37" t="s">
        <v>69</v>
      </c>
      <c r="J1" s="48">
        <v>44599</v>
      </c>
      <c r="K1" s="37" t="s">
        <v>70</v>
      </c>
      <c r="L1" s="49">
        <v>0</v>
      </c>
      <c r="M1" s="50"/>
      <c r="N1" s="13" t="s">
        <v>71</v>
      </c>
    </row>
    <row r="2" spans="1:14" ht="20.399999999999999" customHeight="1" thickBot="1">
      <c r="B2" s="36" t="s">
        <v>72</v>
      </c>
      <c r="C2" s="297" t="s">
        <v>73</v>
      </c>
      <c r="D2" s="298"/>
      <c r="E2" s="299"/>
      <c r="F2" s="38" t="s">
        <v>74</v>
      </c>
      <c r="G2" s="15"/>
      <c r="H2" s="297" t="s">
        <v>75</v>
      </c>
      <c r="I2" s="298"/>
      <c r="J2" s="298"/>
      <c r="K2" s="298"/>
      <c r="L2" s="305"/>
      <c r="M2" s="34"/>
      <c r="N2" s="13" t="s">
        <v>71</v>
      </c>
    </row>
    <row r="3" spans="1:14" ht="18" customHeight="1" thickBot="1">
      <c r="B3" s="36" t="s">
        <v>76</v>
      </c>
      <c r="C3" s="300" t="s">
        <v>77</v>
      </c>
      <c r="D3" s="301"/>
      <c r="E3" s="302"/>
      <c r="F3" s="39" t="s">
        <v>78</v>
      </c>
      <c r="G3" s="16"/>
      <c r="H3" s="306" t="s">
        <v>79</v>
      </c>
      <c r="I3" s="307"/>
      <c r="J3" s="307"/>
      <c r="K3" s="307"/>
      <c r="L3" s="308"/>
      <c r="M3" s="34"/>
    </row>
    <row r="4" spans="1:14" ht="18" customHeight="1" thickBot="1">
      <c r="B4" s="36" t="s">
        <v>80</v>
      </c>
      <c r="C4" s="300" t="s">
        <v>77</v>
      </c>
      <c r="D4" s="301"/>
      <c r="E4" s="302"/>
      <c r="F4" s="39" t="s">
        <v>70</v>
      </c>
      <c r="G4" s="51" t="s">
        <v>81</v>
      </c>
      <c r="H4" s="39" t="s">
        <v>82</v>
      </c>
      <c r="I4" s="16"/>
      <c r="J4" s="52">
        <v>14</v>
      </c>
      <c r="K4" s="40" t="s">
        <v>83</v>
      </c>
      <c r="L4" s="53">
        <v>14</v>
      </c>
      <c r="M4" s="54"/>
    </row>
    <row r="5" spans="1:14" ht="13.8" thickBot="1">
      <c r="B5" s="36" t="s">
        <v>84</v>
      </c>
      <c r="C5" s="303">
        <v>45803</v>
      </c>
      <c r="D5" s="304"/>
      <c r="E5" s="166" t="s">
        <v>85</v>
      </c>
      <c r="F5" s="132"/>
      <c r="G5" s="133">
        <v>45950</v>
      </c>
      <c r="H5" s="166" t="s">
        <v>86</v>
      </c>
      <c r="I5" s="134"/>
      <c r="J5" s="135">
        <v>14</v>
      </c>
      <c r="K5" s="136"/>
      <c r="L5" s="137"/>
      <c r="M5" s="54"/>
      <c r="N5" s="41"/>
    </row>
    <row r="6" spans="1:14" ht="13.8" thickBot="1">
      <c r="B6" s="268"/>
      <c r="C6" s="266"/>
      <c r="D6" s="266"/>
      <c r="E6" s="267"/>
      <c r="F6" s="124"/>
      <c r="G6" s="265"/>
      <c r="H6" s="264"/>
      <c r="I6" s="127"/>
      <c r="J6" s="128"/>
      <c r="K6" s="129"/>
      <c r="L6" s="130"/>
      <c r="M6" s="54"/>
      <c r="N6" s="41"/>
    </row>
    <row r="7" spans="1:14" s="19" customFormat="1" ht="27" customHeight="1" thickBot="1">
      <c r="A7" s="269" t="s">
        <v>87</v>
      </c>
      <c r="B7" s="250" t="s">
        <v>88</v>
      </c>
      <c r="C7" s="116" t="s">
        <v>89</v>
      </c>
      <c r="D7" s="117" t="s">
        <v>90</v>
      </c>
      <c r="E7" s="117" t="s">
        <v>91</v>
      </c>
      <c r="F7" s="117" t="s">
        <v>92</v>
      </c>
      <c r="G7" s="118" t="s">
        <v>93</v>
      </c>
      <c r="H7" s="14"/>
      <c r="I7" s="17"/>
      <c r="J7" s="17"/>
      <c r="K7" s="18"/>
      <c r="L7" s="18"/>
      <c r="M7" s="55"/>
      <c r="N7" s="261" t="s">
        <v>94</v>
      </c>
    </row>
    <row r="8" spans="1:14">
      <c r="A8" s="42" t="s">
        <v>95</v>
      </c>
      <c r="B8" s="20" t="s">
        <v>96</v>
      </c>
      <c r="C8" s="56">
        <v>1</v>
      </c>
      <c r="D8" s="57">
        <v>1500</v>
      </c>
      <c r="E8" s="58">
        <f>C8*D8</f>
        <v>1500</v>
      </c>
      <c r="F8" s="59">
        <v>1.1000000000000001</v>
      </c>
      <c r="G8" s="112">
        <f>E8*F8</f>
        <v>1650.0000000000002</v>
      </c>
      <c r="I8" s="17"/>
      <c r="J8" s="17"/>
      <c r="K8" s="18"/>
      <c r="L8" s="18"/>
      <c r="M8" s="18"/>
      <c r="N8" s="13" t="s">
        <v>97</v>
      </c>
    </row>
    <row r="9" spans="1:14">
      <c r="A9" s="43" t="s">
        <v>95</v>
      </c>
      <c r="B9" s="21" t="s">
        <v>98</v>
      </c>
      <c r="C9" s="60">
        <v>2</v>
      </c>
      <c r="D9" s="61">
        <v>600</v>
      </c>
      <c r="E9" s="62">
        <f>C9*D9</f>
        <v>1200</v>
      </c>
      <c r="F9" s="63">
        <v>1.1000000000000001</v>
      </c>
      <c r="G9" s="113">
        <f>E9*F9</f>
        <v>1320</v>
      </c>
      <c r="I9" s="17"/>
      <c r="J9" s="17"/>
      <c r="K9" s="18"/>
      <c r="L9" s="18"/>
      <c r="M9" s="18"/>
      <c r="N9" s="13" t="s">
        <v>99</v>
      </c>
    </row>
    <row r="10" spans="1:14">
      <c r="A10" s="43" t="s">
        <v>95</v>
      </c>
      <c r="B10" s="21" t="s">
        <v>100</v>
      </c>
      <c r="C10" s="60">
        <v>1</v>
      </c>
      <c r="D10" s="61">
        <v>50</v>
      </c>
      <c r="E10" s="62">
        <f t="shared" ref="E10:E12" si="0">C10*D10</f>
        <v>50</v>
      </c>
      <c r="F10" s="63">
        <v>1.1000000000000001</v>
      </c>
      <c r="G10" s="113">
        <f t="shared" ref="G10:G12" si="1">E10*F10</f>
        <v>55.000000000000007</v>
      </c>
      <c r="I10" s="17"/>
      <c r="J10" s="17"/>
      <c r="K10" s="18"/>
      <c r="L10" s="18"/>
      <c r="M10" s="18"/>
    </row>
    <row r="11" spans="1:14">
      <c r="A11" s="43" t="s">
        <v>95</v>
      </c>
      <c r="B11" s="21"/>
      <c r="C11" s="60"/>
      <c r="D11" s="61"/>
      <c r="E11" s="62">
        <f t="shared" si="0"/>
        <v>0</v>
      </c>
      <c r="F11" s="63">
        <v>1.1000000000000001</v>
      </c>
      <c r="G11" s="113">
        <f t="shared" si="1"/>
        <v>0</v>
      </c>
      <c r="I11" s="17"/>
      <c r="J11" s="17"/>
      <c r="K11" s="18"/>
      <c r="L11" s="18"/>
      <c r="M11" s="18"/>
    </row>
    <row r="12" spans="1:14" ht="13.8" thickBot="1">
      <c r="A12" s="44" t="s">
        <v>95</v>
      </c>
      <c r="B12" s="22"/>
      <c r="C12" s="64"/>
      <c r="D12" s="65"/>
      <c r="E12" s="66">
        <f t="shared" si="0"/>
        <v>0</v>
      </c>
      <c r="F12" s="67">
        <v>1.1000000000000001</v>
      </c>
      <c r="G12" s="114">
        <f t="shared" si="1"/>
        <v>0</v>
      </c>
      <c r="I12" s="17"/>
      <c r="J12" s="17"/>
      <c r="K12" s="18"/>
      <c r="L12" s="18"/>
      <c r="M12" s="18"/>
    </row>
    <row r="13" spans="1:14" s="23" customFormat="1" ht="21" customHeight="1" thickBot="1">
      <c r="A13" s="138"/>
      <c r="B13" s="139" t="s">
        <v>101</v>
      </c>
      <c r="C13" s="139" t="s">
        <v>71</v>
      </c>
      <c r="D13" s="139"/>
      <c r="E13" s="140">
        <f>SUM(E8:E12)</f>
        <v>2750</v>
      </c>
      <c r="F13" s="139"/>
      <c r="G13" s="154">
        <f>SUM(G8:G12)</f>
        <v>3025</v>
      </c>
      <c r="I13" s="24"/>
      <c r="J13" s="46"/>
      <c r="K13" s="24"/>
      <c r="L13" s="24"/>
      <c r="M13" s="24"/>
      <c r="N13" s="25"/>
    </row>
    <row r="14" spans="1:14" ht="13.8" thickBot="1">
      <c r="A14" s="262"/>
      <c r="B14" s="262"/>
      <c r="C14" s="262"/>
      <c r="D14" s="263"/>
      <c r="E14" s="263"/>
      <c r="F14" s="263"/>
      <c r="G14" s="263"/>
      <c r="H14" s="124"/>
      <c r="I14" s="127"/>
      <c r="J14" s="128"/>
      <c r="K14" s="129"/>
      <c r="L14" s="130"/>
      <c r="M14" s="54"/>
      <c r="N14" s="41"/>
    </row>
    <row r="15" spans="1:14" ht="27" customHeight="1" thickBot="1">
      <c r="A15" s="115" t="s">
        <v>87</v>
      </c>
      <c r="B15" s="251" t="s">
        <v>102</v>
      </c>
      <c r="C15" s="117" t="s">
        <v>89</v>
      </c>
      <c r="D15" s="117" t="s">
        <v>90</v>
      </c>
      <c r="E15" s="117" t="s">
        <v>103</v>
      </c>
      <c r="F15" s="117" t="s">
        <v>92</v>
      </c>
      <c r="G15" s="118" t="s">
        <v>93</v>
      </c>
    </row>
    <row r="16" spans="1:14">
      <c r="A16" s="43" t="s">
        <v>104</v>
      </c>
      <c r="B16" s="26" t="s">
        <v>105</v>
      </c>
      <c r="C16" s="68">
        <v>1</v>
      </c>
      <c r="D16" s="69">
        <v>0.5</v>
      </c>
      <c r="E16" s="70">
        <f>C16*D16</f>
        <v>0.5</v>
      </c>
      <c r="F16" s="71">
        <v>1.2</v>
      </c>
      <c r="G16" s="164">
        <f>E16*F16</f>
        <v>0.6</v>
      </c>
    </row>
    <row r="17" spans="1:14">
      <c r="A17" s="43" t="s">
        <v>104</v>
      </c>
      <c r="B17" s="21" t="s">
        <v>106</v>
      </c>
      <c r="C17" s="73">
        <v>1</v>
      </c>
      <c r="D17" s="74">
        <v>1</v>
      </c>
      <c r="E17" s="75">
        <f t="shared" ref="E17:E20" si="2">C17*D17</f>
        <v>1</v>
      </c>
      <c r="F17" s="76">
        <v>1.2</v>
      </c>
      <c r="G17" s="113">
        <f t="shared" ref="G17:G20" si="3">E17*F17</f>
        <v>1.2</v>
      </c>
    </row>
    <row r="18" spans="1:14">
      <c r="A18" s="43" t="s">
        <v>104</v>
      </c>
      <c r="B18" s="21" t="s">
        <v>107</v>
      </c>
      <c r="C18" s="73">
        <v>1</v>
      </c>
      <c r="D18" s="74">
        <v>3</v>
      </c>
      <c r="E18" s="75">
        <f t="shared" si="2"/>
        <v>3</v>
      </c>
      <c r="F18" s="76">
        <v>1.2</v>
      </c>
      <c r="G18" s="113">
        <f t="shared" si="3"/>
        <v>3.5999999999999996</v>
      </c>
    </row>
    <row r="19" spans="1:14">
      <c r="A19" s="43" t="s">
        <v>104</v>
      </c>
      <c r="B19" s="21" t="s">
        <v>108</v>
      </c>
      <c r="C19" s="73">
        <v>1</v>
      </c>
      <c r="D19" s="74">
        <v>4</v>
      </c>
      <c r="E19" s="75">
        <f t="shared" si="2"/>
        <v>4</v>
      </c>
      <c r="F19" s="76">
        <v>1.3</v>
      </c>
      <c r="G19" s="113">
        <f t="shared" si="3"/>
        <v>5.2</v>
      </c>
    </row>
    <row r="20" spans="1:14" ht="13.8" thickBot="1">
      <c r="A20" s="45" t="s">
        <v>104</v>
      </c>
      <c r="B20" s="27"/>
      <c r="C20" s="77"/>
      <c r="D20" s="77"/>
      <c r="E20" s="78">
        <f t="shared" si="2"/>
        <v>0</v>
      </c>
      <c r="F20" s="79">
        <v>1.2</v>
      </c>
      <c r="G20" s="165">
        <f t="shared" si="3"/>
        <v>0</v>
      </c>
    </row>
    <row r="21" spans="1:14" s="23" customFormat="1" ht="21" customHeight="1" thickBot="1">
      <c r="A21" s="138"/>
      <c r="B21" s="139" t="s">
        <v>101</v>
      </c>
      <c r="C21" s="139"/>
      <c r="D21" s="139"/>
      <c r="E21" s="141">
        <f>SUM(E16:E20)</f>
        <v>8.5</v>
      </c>
      <c r="F21" s="139"/>
      <c r="G21" s="154">
        <f>SUM(G16:G20)</f>
        <v>10.6</v>
      </c>
      <c r="H21" s="14"/>
      <c r="I21" s="24"/>
      <c r="J21" s="28"/>
      <c r="K21" s="24"/>
      <c r="L21" s="24"/>
      <c r="M21" s="24"/>
      <c r="N21" s="25"/>
    </row>
    <row r="22" spans="1:14" ht="13.8" thickBot="1">
      <c r="B22" s="131"/>
      <c r="C22" s="125"/>
      <c r="D22" s="126"/>
      <c r="E22" s="123"/>
      <c r="F22" s="123"/>
      <c r="G22" s="125"/>
      <c r="H22" s="124"/>
      <c r="I22" s="127"/>
      <c r="J22" s="128"/>
      <c r="K22" s="129"/>
      <c r="L22" s="130"/>
      <c r="M22" s="54"/>
      <c r="N22" s="41"/>
    </row>
    <row r="23" spans="1:14" s="19" customFormat="1" ht="27" customHeight="1" thickBot="1">
      <c r="A23" s="115" t="s">
        <v>87</v>
      </c>
      <c r="B23" s="251" t="s">
        <v>109</v>
      </c>
      <c r="C23" s="117" t="s">
        <v>110</v>
      </c>
      <c r="D23" s="117" t="s">
        <v>111</v>
      </c>
      <c r="E23" s="117" t="s">
        <v>112</v>
      </c>
      <c r="F23" s="117" t="s">
        <v>113</v>
      </c>
      <c r="G23" s="117" t="s">
        <v>114</v>
      </c>
      <c r="H23" s="117" t="s">
        <v>115</v>
      </c>
      <c r="I23" s="117" t="s">
        <v>92</v>
      </c>
      <c r="J23" s="117" t="s">
        <v>93</v>
      </c>
      <c r="K23" s="116" t="s">
        <v>116</v>
      </c>
      <c r="L23" s="116" t="s">
        <v>117</v>
      </c>
      <c r="M23" s="119" t="s">
        <v>118</v>
      </c>
      <c r="N23" s="41"/>
    </row>
    <row r="24" spans="1:14" ht="13.8" thickBot="1">
      <c r="A24" s="80" t="s">
        <v>119</v>
      </c>
      <c r="B24" s="26" t="s">
        <v>120</v>
      </c>
      <c r="C24" s="69">
        <v>0.11</v>
      </c>
      <c r="D24" s="69">
        <v>8.5000000000000006E-2</v>
      </c>
      <c r="E24" s="70">
        <f>C24-D24</f>
        <v>2.4999999999999994E-2</v>
      </c>
      <c r="F24" s="71">
        <v>0.7</v>
      </c>
      <c r="G24" s="81">
        <v>4.53</v>
      </c>
      <c r="H24" s="82">
        <f>IF($A24&gt;0,(G24+M24)*C24-(K24/1000/L24*E24*F24),"")</f>
        <v>1.3942729815149173</v>
      </c>
      <c r="I24" s="71">
        <v>1</v>
      </c>
      <c r="J24" s="72">
        <f>IF($A24&gt;0,H24*I24,"")</f>
        <v>1.3942729815149173</v>
      </c>
      <c r="K24" s="83">
        <f>IF($A24="CU",MP!$B$3,IF($A24="AL",MP!$I$3,""))</f>
        <v>9645.7000000000007</v>
      </c>
      <c r="L24" s="84">
        <f>IF($A24="CU",MP!$B$7,IF($A24="AL",MP!$I$7,""))</f>
        <v>1.1631</v>
      </c>
      <c r="M24" s="112">
        <f>IF($A24="CU",MP!$B$8,IF($A24="AL",MP!$I$8,""))</f>
        <v>9.4645651104806134</v>
      </c>
      <c r="N24" s="13" t="s">
        <v>121</v>
      </c>
    </row>
    <row r="25" spans="1:14" s="23" customFormat="1" ht="21" customHeight="1" thickBot="1">
      <c r="A25" s="138"/>
      <c r="B25" s="139" t="s">
        <v>101</v>
      </c>
      <c r="C25" s="141">
        <f>SUM(C24:C24)</f>
        <v>0.11</v>
      </c>
      <c r="D25" s="141">
        <f>SUM(D24:D24)</f>
        <v>8.5000000000000006E-2</v>
      </c>
      <c r="E25" s="141"/>
      <c r="F25" s="139"/>
      <c r="G25" s="139"/>
      <c r="H25" s="142">
        <f>SUM(H24:H24)</f>
        <v>1.3942729815149173</v>
      </c>
      <c r="I25" s="139"/>
      <c r="J25" s="142">
        <f>SUM(J24:J24)</f>
        <v>1.3942729815149173</v>
      </c>
      <c r="K25" s="139"/>
      <c r="L25" s="139"/>
      <c r="M25" s="143"/>
      <c r="N25" s="25"/>
    </row>
    <row r="26" spans="1:14" ht="13.8" thickBot="1">
      <c r="B26" s="131"/>
      <c r="C26" s="125"/>
      <c r="D26" s="126"/>
      <c r="E26" s="123"/>
      <c r="F26" s="123"/>
      <c r="G26" s="125"/>
      <c r="H26" s="124"/>
      <c r="I26" s="127"/>
      <c r="J26" s="128"/>
      <c r="K26" s="129"/>
      <c r="L26" s="130"/>
      <c r="M26" s="54"/>
      <c r="N26" s="41"/>
    </row>
    <row r="27" spans="1:14" ht="27" customHeight="1" thickBot="1">
      <c r="A27" s="120" t="s">
        <v>122</v>
      </c>
      <c r="B27" s="252" t="s">
        <v>123</v>
      </c>
      <c r="C27" s="121" t="s">
        <v>39</v>
      </c>
      <c r="D27" s="121" t="s">
        <v>124</v>
      </c>
      <c r="E27" s="121" t="s">
        <v>125</v>
      </c>
      <c r="F27" s="121" t="s">
        <v>126</v>
      </c>
      <c r="G27" s="121" t="s">
        <v>127</v>
      </c>
      <c r="H27" s="121" t="s">
        <v>128</v>
      </c>
      <c r="I27" s="121" t="s">
        <v>129</v>
      </c>
      <c r="J27" s="121" t="s">
        <v>130</v>
      </c>
      <c r="K27" s="121" t="s">
        <v>92</v>
      </c>
      <c r="L27" s="121" t="s">
        <v>131</v>
      </c>
      <c r="M27" s="122" t="s">
        <v>132</v>
      </c>
      <c r="N27" s="14"/>
    </row>
    <row r="28" spans="1:14">
      <c r="A28" s="42">
        <v>1</v>
      </c>
      <c r="B28" s="29" t="s">
        <v>133</v>
      </c>
      <c r="C28" s="87" t="s">
        <v>134</v>
      </c>
      <c r="D28" s="87" t="s">
        <v>135</v>
      </c>
      <c r="E28" s="87" t="s">
        <v>136</v>
      </c>
      <c r="F28" s="88">
        <v>48</v>
      </c>
      <c r="G28" s="89">
        <v>30</v>
      </c>
      <c r="H28" s="90">
        <v>0</v>
      </c>
      <c r="I28" s="91">
        <f>IF(OR($L$4=0,$L$4=""),0,G28/60/$L$4*F28)</f>
        <v>1.7142857142857142</v>
      </c>
      <c r="J28" s="91">
        <f t="shared" ref="J28:J35" si="4">IF(D28="I",F28/3600*H28,F28)</f>
        <v>0</v>
      </c>
      <c r="K28" s="59">
        <v>1</v>
      </c>
      <c r="L28" s="91">
        <f>I28*K28</f>
        <v>1.7142857142857142</v>
      </c>
      <c r="M28" s="112">
        <f t="shared" ref="M28:M37" si="5">IF(C28="ADD",(J28 + I28)*K28,J28*K28)</f>
        <v>0</v>
      </c>
      <c r="N28" s="30"/>
    </row>
    <row r="29" spans="1:14">
      <c r="A29" s="92">
        <v>10</v>
      </c>
      <c r="B29" s="31" t="s">
        <v>137</v>
      </c>
      <c r="C29" s="93" t="s">
        <v>134</v>
      </c>
      <c r="D29" s="94" t="s">
        <v>135</v>
      </c>
      <c r="E29" s="94" t="s">
        <v>138</v>
      </c>
      <c r="F29" s="95">
        <v>150</v>
      </c>
      <c r="G29" s="96">
        <v>0</v>
      </c>
      <c r="H29" s="97">
        <v>20</v>
      </c>
      <c r="I29" s="85"/>
      <c r="J29" s="85">
        <f t="shared" si="4"/>
        <v>0.83333333333333326</v>
      </c>
      <c r="K29" s="76">
        <v>1</v>
      </c>
      <c r="L29" s="85">
        <f t="shared" ref="L29:L37" si="6">I29*K29</f>
        <v>0</v>
      </c>
      <c r="M29" s="113">
        <f t="shared" si="5"/>
        <v>0.83333333333333326</v>
      </c>
      <c r="N29" s="30"/>
    </row>
    <row r="30" spans="1:14">
      <c r="A30" s="92">
        <v>20</v>
      </c>
      <c r="B30" s="31" t="s">
        <v>139</v>
      </c>
      <c r="C30" s="93" t="s">
        <v>134</v>
      </c>
      <c r="D30" s="94" t="s">
        <v>135</v>
      </c>
      <c r="E30" s="94" t="s">
        <v>140</v>
      </c>
      <c r="F30" s="95">
        <v>70</v>
      </c>
      <c r="G30" s="96">
        <v>15</v>
      </c>
      <c r="H30" s="97">
        <v>30</v>
      </c>
      <c r="I30" s="85">
        <f t="shared" ref="I30:I37" si="7">IF(OR($L$4=0,$L$4=""),0,G30/60/$L$4*F30)</f>
        <v>1.25</v>
      </c>
      <c r="J30" s="85">
        <f t="shared" si="4"/>
        <v>0.58333333333333337</v>
      </c>
      <c r="K30" s="76">
        <v>1</v>
      </c>
      <c r="L30" s="85">
        <f t="shared" si="6"/>
        <v>1.25</v>
      </c>
      <c r="M30" s="113">
        <f t="shared" si="5"/>
        <v>0.58333333333333337</v>
      </c>
      <c r="N30" s="30"/>
    </row>
    <row r="31" spans="1:14">
      <c r="A31" s="92">
        <v>30</v>
      </c>
      <c r="B31" s="31" t="s">
        <v>141</v>
      </c>
      <c r="C31" s="93" t="s">
        <v>134</v>
      </c>
      <c r="D31" s="94" t="s">
        <v>135</v>
      </c>
      <c r="E31" s="94" t="s">
        <v>142</v>
      </c>
      <c r="F31" s="95">
        <v>70</v>
      </c>
      <c r="G31" s="96">
        <v>15</v>
      </c>
      <c r="H31" s="97">
        <v>30</v>
      </c>
      <c r="I31" s="85">
        <f t="shared" si="7"/>
        <v>1.25</v>
      </c>
      <c r="J31" s="85">
        <f t="shared" si="4"/>
        <v>0.58333333333333337</v>
      </c>
      <c r="K31" s="76">
        <v>1</v>
      </c>
      <c r="L31" s="85">
        <f t="shared" si="6"/>
        <v>1.25</v>
      </c>
      <c r="M31" s="113">
        <f t="shared" si="5"/>
        <v>0.58333333333333337</v>
      </c>
      <c r="N31" s="14"/>
    </row>
    <row r="32" spans="1:14">
      <c r="A32" s="92">
        <v>40</v>
      </c>
      <c r="B32" s="31" t="s">
        <v>143</v>
      </c>
      <c r="C32" s="93" t="s">
        <v>134</v>
      </c>
      <c r="D32" s="94" t="s">
        <v>135</v>
      </c>
      <c r="E32" s="94" t="s">
        <v>144</v>
      </c>
      <c r="F32" s="95">
        <v>70</v>
      </c>
      <c r="G32" s="96">
        <v>0</v>
      </c>
      <c r="H32" s="97">
        <v>180</v>
      </c>
      <c r="I32" s="85">
        <f t="shared" si="7"/>
        <v>0</v>
      </c>
      <c r="J32" s="85">
        <f t="shared" si="4"/>
        <v>3.5</v>
      </c>
      <c r="K32" s="76">
        <v>1</v>
      </c>
      <c r="L32" s="85">
        <f t="shared" si="6"/>
        <v>0</v>
      </c>
      <c r="M32" s="113">
        <f t="shared" si="5"/>
        <v>3.5</v>
      </c>
      <c r="N32" s="14"/>
    </row>
    <row r="33" spans="1:14">
      <c r="A33" s="92">
        <v>60</v>
      </c>
      <c r="B33" s="31" t="s">
        <v>145</v>
      </c>
      <c r="C33" s="93" t="s">
        <v>134</v>
      </c>
      <c r="D33" s="94" t="s">
        <v>135</v>
      </c>
      <c r="E33" s="94" t="s">
        <v>146</v>
      </c>
      <c r="F33" s="95">
        <v>70</v>
      </c>
      <c r="G33" s="96">
        <v>0</v>
      </c>
      <c r="H33" s="97">
        <v>300</v>
      </c>
      <c r="I33" s="85">
        <f t="shared" si="7"/>
        <v>0</v>
      </c>
      <c r="J33" s="85">
        <f t="shared" si="4"/>
        <v>5.833333333333333</v>
      </c>
      <c r="K33" s="76">
        <v>1.2</v>
      </c>
      <c r="L33" s="85">
        <f t="shared" si="6"/>
        <v>0</v>
      </c>
      <c r="M33" s="113">
        <f t="shared" si="5"/>
        <v>6.9999999999999991</v>
      </c>
      <c r="N33" s="14"/>
    </row>
    <row r="34" spans="1:14">
      <c r="A34" s="92">
        <v>70</v>
      </c>
      <c r="B34" s="31" t="s">
        <v>147</v>
      </c>
      <c r="C34" s="93" t="s">
        <v>148</v>
      </c>
      <c r="D34" s="94" t="s">
        <v>149</v>
      </c>
      <c r="E34" s="94" t="s">
        <v>150</v>
      </c>
      <c r="F34" s="95">
        <v>1.1000000000000001</v>
      </c>
      <c r="G34" s="96">
        <v>0</v>
      </c>
      <c r="H34" s="97">
        <v>0</v>
      </c>
      <c r="I34" s="85">
        <f t="shared" si="7"/>
        <v>0</v>
      </c>
      <c r="J34" s="85">
        <f t="shared" si="4"/>
        <v>1.1000000000000001</v>
      </c>
      <c r="K34" s="76">
        <v>1.2</v>
      </c>
      <c r="L34" s="85">
        <f t="shared" si="6"/>
        <v>0</v>
      </c>
      <c r="M34" s="113">
        <f t="shared" si="5"/>
        <v>1.32</v>
      </c>
      <c r="N34" s="14"/>
    </row>
    <row r="35" spans="1:14">
      <c r="A35" s="92">
        <v>80</v>
      </c>
      <c r="B35" s="31" t="s">
        <v>151</v>
      </c>
      <c r="C35" s="93" t="s">
        <v>134</v>
      </c>
      <c r="D35" s="94" t="s">
        <v>135</v>
      </c>
      <c r="E35" s="94"/>
      <c r="F35" s="95">
        <v>70</v>
      </c>
      <c r="G35" s="96">
        <v>0</v>
      </c>
      <c r="H35" s="97">
        <v>20</v>
      </c>
      <c r="I35" s="85">
        <f t="shared" si="7"/>
        <v>0</v>
      </c>
      <c r="J35" s="85">
        <f t="shared" si="4"/>
        <v>0.3888888888888889</v>
      </c>
      <c r="K35" s="76">
        <v>1</v>
      </c>
      <c r="L35" s="85">
        <f t="shared" si="6"/>
        <v>0</v>
      </c>
      <c r="M35" s="113">
        <f t="shared" si="5"/>
        <v>0.3888888888888889</v>
      </c>
      <c r="N35" s="14"/>
    </row>
    <row r="36" spans="1:14">
      <c r="A36" s="92">
        <v>90</v>
      </c>
      <c r="B36" s="31"/>
      <c r="C36" s="93" t="s">
        <v>134</v>
      </c>
      <c r="D36" s="94" t="s">
        <v>135</v>
      </c>
      <c r="E36" s="94"/>
      <c r="F36" s="95"/>
      <c r="G36" s="96"/>
      <c r="H36" s="97"/>
      <c r="I36" s="85">
        <f t="shared" si="7"/>
        <v>0</v>
      </c>
      <c r="J36" s="85"/>
      <c r="K36" s="76">
        <v>1</v>
      </c>
      <c r="L36" s="85">
        <f t="shared" si="6"/>
        <v>0</v>
      </c>
      <c r="M36" s="113">
        <f t="shared" si="5"/>
        <v>0</v>
      </c>
      <c r="N36" s="14"/>
    </row>
    <row r="37" spans="1:14" ht="13.8" thickBot="1">
      <c r="A37" s="98">
        <v>100</v>
      </c>
      <c r="B37" s="32" t="s">
        <v>71</v>
      </c>
      <c r="C37" s="99" t="s">
        <v>134</v>
      </c>
      <c r="D37" s="100" t="s">
        <v>135</v>
      </c>
      <c r="E37" s="100"/>
      <c r="F37" s="101"/>
      <c r="G37" s="102"/>
      <c r="H37" s="103"/>
      <c r="I37" s="86">
        <f t="shared" si="7"/>
        <v>0</v>
      </c>
      <c r="J37" s="86">
        <f>IF(D37="I",F37/3600*H37,F37)</f>
        <v>0</v>
      </c>
      <c r="K37" s="104">
        <v>1</v>
      </c>
      <c r="L37" s="86">
        <f t="shared" si="6"/>
        <v>0</v>
      </c>
      <c r="M37" s="114">
        <f t="shared" si="5"/>
        <v>0</v>
      </c>
      <c r="N37" s="14"/>
    </row>
    <row r="38" spans="1:14" s="23" customFormat="1" ht="21" customHeight="1" thickBot="1">
      <c r="A38" s="155"/>
      <c r="B38" s="156" t="s">
        <v>152</v>
      </c>
      <c r="C38" s="156"/>
      <c r="D38" s="156"/>
      <c r="E38" s="156"/>
      <c r="F38" s="156"/>
      <c r="G38" s="156"/>
      <c r="H38" s="156"/>
      <c r="I38" s="157"/>
      <c r="J38" s="157"/>
      <c r="K38" s="156"/>
      <c r="L38" s="157">
        <f>SUMIF(C28:C37,"MACH",L28:L37)</f>
        <v>4.2142857142857144</v>
      </c>
      <c r="M38" s="158">
        <f>SUMIF(C28:C37,"MACH",M28:M37)</f>
        <v>12.888888888888889</v>
      </c>
      <c r="N38" s="25"/>
    </row>
    <row r="39" spans="1:14" s="23" customFormat="1" ht="21" customHeight="1" thickBot="1">
      <c r="A39" s="153"/>
      <c r="B39" s="139" t="s">
        <v>153</v>
      </c>
      <c r="C39" s="139"/>
      <c r="D39" s="139"/>
      <c r="E39" s="139"/>
      <c r="F39" s="139"/>
      <c r="G39" s="139"/>
      <c r="H39" s="139"/>
      <c r="I39" s="142"/>
      <c r="J39" s="142"/>
      <c r="K39" s="139"/>
      <c r="L39" s="139"/>
      <c r="M39" s="154">
        <f>SUMIF(C28:C37,"ADD",M28:M37)</f>
        <v>1.32</v>
      </c>
      <c r="N39" s="25"/>
    </row>
    <row r="40" spans="1:14" ht="13.8" thickBot="1">
      <c r="B40" s="144"/>
      <c r="C40" s="125"/>
      <c r="D40" s="126"/>
      <c r="E40" s="123"/>
      <c r="F40" s="123"/>
      <c r="G40" s="125"/>
      <c r="H40" s="124"/>
      <c r="I40" s="127"/>
      <c r="J40" s="128"/>
      <c r="K40" s="129"/>
      <c r="L40" s="130"/>
      <c r="M40" s="54"/>
      <c r="N40" s="41"/>
    </row>
    <row r="41" spans="1:14" ht="27" customHeight="1" thickBot="1">
      <c r="A41" s="115" t="s">
        <v>122</v>
      </c>
      <c r="B41" s="251" t="s">
        <v>154</v>
      </c>
      <c r="C41" s="117" t="s">
        <v>39</v>
      </c>
      <c r="D41" s="117" t="s">
        <v>124</v>
      </c>
      <c r="E41" s="117" t="s">
        <v>155</v>
      </c>
      <c r="F41" s="117"/>
      <c r="G41" s="117" t="s">
        <v>156</v>
      </c>
      <c r="H41" s="117" t="s">
        <v>157</v>
      </c>
      <c r="I41" s="117" t="s">
        <v>158</v>
      </c>
      <c r="J41" s="117" t="s">
        <v>159</v>
      </c>
      <c r="K41" s="117" t="s">
        <v>160</v>
      </c>
      <c r="L41" s="117" t="s">
        <v>161</v>
      </c>
      <c r="M41" s="159" t="s">
        <v>162</v>
      </c>
      <c r="N41" s="14"/>
    </row>
    <row r="42" spans="1:14" ht="18" customHeight="1" thickBot="1">
      <c r="A42" s="145">
        <v>50</v>
      </c>
      <c r="B42" s="146" t="s">
        <v>163</v>
      </c>
      <c r="C42" s="147" t="s">
        <v>164</v>
      </c>
      <c r="D42" s="147" t="s">
        <v>149</v>
      </c>
      <c r="E42" s="147" t="s">
        <v>165</v>
      </c>
      <c r="F42" s="147"/>
      <c r="G42" s="148">
        <v>3</v>
      </c>
      <c r="H42" s="149">
        <v>1.3</v>
      </c>
      <c r="I42" s="150">
        <f>G42*H42</f>
        <v>3.9000000000000004</v>
      </c>
      <c r="J42" s="151">
        <v>10</v>
      </c>
      <c r="K42" s="150">
        <f>J42*MP!P3/1000</f>
        <v>11.0373</v>
      </c>
      <c r="L42" s="149">
        <v>1.1000000000000001</v>
      </c>
      <c r="M42" s="152">
        <f>K42*L42</f>
        <v>12.141030000000001</v>
      </c>
      <c r="N42" s="14"/>
    </row>
    <row r="43" spans="1:14" s="23" customFormat="1" ht="21" customHeight="1" thickBot="1">
      <c r="A43" s="153"/>
      <c r="B43" s="139" t="s">
        <v>101</v>
      </c>
      <c r="C43" s="139"/>
      <c r="D43" s="139"/>
      <c r="E43" s="139"/>
      <c r="F43" s="139"/>
      <c r="G43" s="139"/>
      <c r="H43" s="139"/>
      <c r="I43" s="154">
        <f>I42</f>
        <v>3.9000000000000004</v>
      </c>
      <c r="J43" s="142"/>
      <c r="K43" s="142"/>
      <c r="L43" s="139"/>
      <c r="M43" s="154">
        <f>M42</f>
        <v>12.141030000000001</v>
      </c>
      <c r="N43" s="25"/>
    </row>
    <row r="44" spans="1:14" ht="13.8" thickBot="1">
      <c r="B44" s="144"/>
      <c r="C44" s="125"/>
      <c r="D44" s="126"/>
      <c r="E44" s="123"/>
      <c r="F44" s="123"/>
      <c r="G44" s="125"/>
      <c r="H44" s="124"/>
      <c r="I44" s="127"/>
      <c r="J44" s="128"/>
      <c r="K44" s="129"/>
      <c r="L44" s="130"/>
      <c r="M44" s="54"/>
      <c r="N44" s="41"/>
    </row>
    <row r="45" spans="1:14" ht="27" customHeight="1" thickBot="1">
      <c r="A45" s="115" t="s">
        <v>87</v>
      </c>
      <c r="B45" s="250" t="s">
        <v>166</v>
      </c>
      <c r="C45" s="116" t="s">
        <v>89</v>
      </c>
      <c r="D45" s="116" t="s">
        <v>167</v>
      </c>
      <c r="E45" s="116" t="s">
        <v>168</v>
      </c>
      <c r="F45" s="116"/>
      <c r="G45" s="116" t="s">
        <v>92</v>
      </c>
      <c r="H45" s="119" t="s">
        <v>93</v>
      </c>
      <c r="I45" s="34"/>
      <c r="J45" s="34"/>
      <c r="K45" s="34"/>
      <c r="L45" s="34"/>
      <c r="M45" s="34"/>
      <c r="N45" s="25"/>
    </row>
    <row r="46" spans="1:14">
      <c r="A46" s="42" t="s">
        <v>169</v>
      </c>
      <c r="B46" s="105" t="s">
        <v>170</v>
      </c>
      <c r="C46" s="259">
        <f>D25</f>
        <v>8.5000000000000006E-2</v>
      </c>
      <c r="D46" s="106">
        <v>0.7</v>
      </c>
      <c r="E46" s="91">
        <f>C46*D46</f>
        <v>5.9499999999999997E-2</v>
      </c>
      <c r="F46" s="33"/>
      <c r="G46" s="107">
        <v>1</v>
      </c>
      <c r="H46" s="112">
        <f t="shared" ref="H46:H47" si="8">E46*G46</f>
        <v>5.9499999999999997E-2</v>
      </c>
      <c r="I46" s="34" t="s">
        <v>71</v>
      </c>
      <c r="J46" s="34"/>
      <c r="K46" s="34"/>
      <c r="L46" s="34"/>
      <c r="M46" s="34"/>
      <c r="N46" s="25"/>
    </row>
    <row r="47" spans="1:14">
      <c r="A47" s="257" t="s">
        <v>171</v>
      </c>
      <c r="B47" s="108" t="s">
        <v>172</v>
      </c>
      <c r="C47" s="260">
        <f>D25</f>
        <v>8.5000000000000006E-2</v>
      </c>
      <c r="D47" s="109">
        <v>0.5</v>
      </c>
      <c r="E47" s="85">
        <f>C47*D47</f>
        <v>4.2500000000000003E-2</v>
      </c>
      <c r="F47" s="35"/>
      <c r="G47" s="110">
        <v>1</v>
      </c>
      <c r="H47" s="113">
        <f t="shared" si="8"/>
        <v>4.2500000000000003E-2</v>
      </c>
      <c r="I47" s="34" t="s">
        <v>71</v>
      </c>
      <c r="J47" s="34"/>
      <c r="K47" s="34"/>
      <c r="L47" s="34"/>
      <c r="M47" s="34"/>
      <c r="N47" s="25"/>
    </row>
    <row r="48" spans="1:14">
      <c r="A48" s="257" t="s">
        <v>173</v>
      </c>
      <c r="B48" s="108" t="s">
        <v>174</v>
      </c>
      <c r="C48" s="253"/>
      <c r="D48" s="254"/>
      <c r="E48" s="85">
        <f>H25+E21</f>
        <v>9.8942729815149164</v>
      </c>
      <c r="F48" s="254"/>
      <c r="G48" s="254"/>
      <c r="H48" s="113">
        <f>J25+G21</f>
        <v>11.994272981514918</v>
      </c>
      <c r="I48" s="34" t="s">
        <v>71</v>
      </c>
      <c r="J48" s="34"/>
      <c r="K48" s="34"/>
      <c r="L48" s="34"/>
      <c r="M48" s="34"/>
      <c r="N48" s="25"/>
    </row>
    <row r="49" spans="1:14" ht="13.8" thickBot="1">
      <c r="A49" s="258" t="s">
        <v>134</v>
      </c>
      <c r="B49" s="111" t="s">
        <v>175</v>
      </c>
      <c r="C49" s="255"/>
      <c r="D49" s="256"/>
      <c r="E49" s="86">
        <f>J38</f>
        <v>0</v>
      </c>
      <c r="F49" s="256"/>
      <c r="G49" s="256"/>
      <c r="H49" s="114">
        <f>M38+M42+L38+M39+I43</f>
        <v>34.464204603174608</v>
      </c>
      <c r="I49" s="34"/>
      <c r="J49" s="34"/>
      <c r="K49" s="34"/>
      <c r="L49" s="34"/>
      <c r="M49" s="34"/>
      <c r="N49" s="25"/>
    </row>
    <row r="50" spans="1:14" ht="21" customHeight="1" thickBot="1">
      <c r="A50" s="160"/>
      <c r="B50" s="161"/>
      <c r="C50" s="162"/>
      <c r="D50" s="162"/>
      <c r="E50" s="162"/>
      <c r="F50" s="163"/>
      <c r="G50" s="163"/>
      <c r="H50" s="167">
        <f>SUM(H46:H49)</f>
        <v>46.560477584689522</v>
      </c>
      <c r="I50" s="34"/>
      <c r="J50" s="34"/>
      <c r="K50" s="34"/>
      <c r="L50" s="34"/>
      <c r="M50" s="34"/>
      <c r="N50" s="25"/>
    </row>
  </sheetData>
  <mergeCells count="6">
    <mergeCell ref="C2:E2"/>
    <mergeCell ref="C3:E3"/>
    <mergeCell ref="C4:E4"/>
    <mergeCell ref="C5:D5"/>
    <mergeCell ref="H2:L2"/>
    <mergeCell ref="H3:L3"/>
  </mergeCells>
  <dataValidations disablePrompts="1" count="2">
    <dataValidation type="list" allowBlank="1" showInputMessage="1" showErrorMessage="1" sqref="C28:C37" xr:uid="{646EBB6B-2905-4613-8E35-4E254DB62FB9}">
      <formula1>"MACH,ADD"</formula1>
    </dataValidation>
    <dataValidation type="list" allowBlank="1" showInputMessage="1" showErrorMessage="1" sqref="A24" xr:uid="{A0BCCCA9-B459-4925-AAFA-D41FFEE77CBD}">
      <formula1>"CU,AL"</formula1>
    </dataValidation>
  </dataValidations>
  <pageMargins left="0.31496062992125984" right="0.31496062992125984" top="0.15748031496062992" bottom="0.15748031496062992" header="0.31496062992125984" footer="0.31496062992125984"/>
  <pageSetup paperSize="8" scale="81" orientation="landscape" r:id="rId1"/>
  <ignoredErrors>
    <ignoredError sqref="H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9FED-E1C8-4F90-9407-1DD71F9F06D8}">
  <dimension ref="A1:N5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1" sqref="E21"/>
    </sheetView>
  </sheetViews>
  <sheetFormatPr defaultColWidth="9.109375" defaultRowHeight="13.2"/>
  <cols>
    <col min="1" max="1" width="5.6640625" style="14" bestFit="1" customWidth="1"/>
    <col min="2" max="2" width="38.5546875" style="14" customWidth="1"/>
    <col min="3" max="5" width="11.6640625" style="14" customWidth="1"/>
    <col min="6" max="6" width="12.5546875" style="14" customWidth="1"/>
    <col min="7" max="7" width="11.6640625" style="14" customWidth="1"/>
    <col min="8" max="9" width="10.6640625" style="14" customWidth="1"/>
    <col min="10" max="11" width="11.33203125" style="14" customWidth="1"/>
    <col min="12" max="12" width="9.88671875" style="14" customWidth="1"/>
    <col min="13" max="13" width="10.44140625" style="14" customWidth="1"/>
    <col min="14" max="14" width="82.6640625" style="13" customWidth="1"/>
    <col min="15" max="16384" width="9.109375" style="14"/>
  </cols>
  <sheetData>
    <row r="1" spans="1:14" ht="13.8" thickBot="1">
      <c r="A1" s="309"/>
      <c r="B1" s="36" t="s">
        <v>66</v>
      </c>
      <c r="C1" s="11"/>
      <c r="D1" s="11"/>
      <c r="E1" s="11"/>
      <c r="F1" s="12"/>
      <c r="G1" s="37" t="s">
        <v>67</v>
      </c>
      <c r="H1" s="47" t="s">
        <v>68</v>
      </c>
      <c r="I1" s="37" t="s">
        <v>69</v>
      </c>
      <c r="J1" s="48">
        <v>44599</v>
      </c>
      <c r="K1" s="37" t="s">
        <v>70</v>
      </c>
      <c r="L1" s="49">
        <v>0</v>
      </c>
      <c r="M1" s="50"/>
      <c r="N1" s="13" t="s">
        <v>71</v>
      </c>
    </row>
    <row r="2" spans="1:14" ht="20.399999999999999" customHeight="1" thickBot="1">
      <c r="A2" s="309"/>
      <c r="B2" s="36" t="s">
        <v>72</v>
      </c>
      <c r="C2" s="297" t="s">
        <v>73</v>
      </c>
      <c r="D2" s="298"/>
      <c r="E2" s="299"/>
      <c r="F2" s="38" t="s">
        <v>74</v>
      </c>
      <c r="G2" s="15"/>
      <c r="H2" s="297" t="s">
        <v>75</v>
      </c>
      <c r="I2" s="298"/>
      <c r="J2" s="298"/>
      <c r="K2" s="298"/>
      <c r="L2" s="305"/>
      <c r="M2" s="34"/>
      <c r="N2" s="13" t="s">
        <v>71</v>
      </c>
    </row>
    <row r="3" spans="1:14" ht="18" customHeight="1" thickBot="1">
      <c r="A3" s="309"/>
      <c r="B3" s="36" t="s">
        <v>76</v>
      </c>
      <c r="C3" s="300" t="s">
        <v>176</v>
      </c>
      <c r="D3" s="301"/>
      <c r="E3" s="302"/>
      <c r="F3" s="39" t="s">
        <v>78</v>
      </c>
      <c r="G3" s="16"/>
      <c r="H3" s="306" t="s">
        <v>177</v>
      </c>
      <c r="I3" s="307"/>
      <c r="J3" s="307"/>
      <c r="K3" s="307"/>
      <c r="L3" s="308"/>
      <c r="M3" s="34"/>
    </row>
    <row r="4" spans="1:14" ht="18" customHeight="1" thickBot="1">
      <c r="A4" s="309"/>
      <c r="B4" s="36" t="s">
        <v>80</v>
      </c>
      <c r="C4" s="300" t="s">
        <v>176</v>
      </c>
      <c r="D4" s="301"/>
      <c r="E4" s="302"/>
      <c r="F4" s="39" t="s">
        <v>70</v>
      </c>
      <c r="G4" s="51" t="s">
        <v>178</v>
      </c>
      <c r="H4" s="39" t="s">
        <v>82</v>
      </c>
      <c r="I4" s="16"/>
      <c r="J4" s="52">
        <v>15</v>
      </c>
      <c r="K4" s="40" t="s">
        <v>83</v>
      </c>
      <c r="L4" s="53">
        <v>15</v>
      </c>
      <c r="M4" s="54"/>
    </row>
    <row r="5" spans="1:14" ht="13.8" thickBot="1">
      <c r="A5" s="309"/>
      <c r="B5" s="36" t="s">
        <v>84</v>
      </c>
      <c r="C5" s="303">
        <v>45803</v>
      </c>
      <c r="D5" s="304"/>
      <c r="E5" s="166" t="s">
        <v>85</v>
      </c>
      <c r="F5" s="132"/>
      <c r="G5" s="133">
        <v>45950</v>
      </c>
      <c r="H5" s="166" t="s">
        <v>86</v>
      </c>
      <c r="I5" s="134"/>
      <c r="J5" s="135">
        <v>15</v>
      </c>
      <c r="K5" s="136"/>
      <c r="L5" s="137"/>
      <c r="M5" s="54"/>
      <c r="N5" s="41"/>
    </row>
    <row r="6" spans="1:14" ht="13.8" thickBot="1">
      <c r="A6" s="310"/>
      <c r="B6" s="131"/>
      <c r="C6" s="125"/>
      <c r="D6" s="126"/>
      <c r="E6" s="123"/>
      <c r="F6" s="123"/>
      <c r="G6" s="125"/>
      <c r="H6" s="124"/>
      <c r="I6" s="127"/>
      <c r="J6" s="128"/>
      <c r="K6" s="129"/>
      <c r="L6" s="130"/>
      <c r="M6" s="54"/>
      <c r="N6" s="41"/>
    </row>
    <row r="7" spans="1:14" s="19" customFormat="1" ht="27" customHeight="1" thickBot="1">
      <c r="A7" s="115" t="s">
        <v>87</v>
      </c>
      <c r="B7" s="250" t="s">
        <v>88</v>
      </c>
      <c r="C7" s="116" t="s">
        <v>89</v>
      </c>
      <c r="D7" s="117" t="s">
        <v>90</v>
      </c>
      <c r="E7" s="117" t="s">
        <v>91</v>
      </c>
      <c r="F7" s="117" t="s">
        <v>92</v>
      </c>
      <c r="G7" s="118" t="s">
        <v>93</v>
      </c>
      <c r="H7" s="14"/>
      <c r="I7" s="17"/>
      <c r="J7" s="17"/>
      <c r="K7" s="18"/>
      <c r="L7" s="18"/>
      <c r="M7" s="55"/>
      <c r="N7" s="261" t="s">
        <v>94</v>
      </c>
    </row>
    <row r="8" spans="1:14">
      <c r="A8" s="42" t="s">
        <v>95</v>
      </c>
      <c r="B8" s="20" t="s">
        <v>96</v>
      </c>
      <c r="C8" s="56">
        <v>2</v>
      </c>
      <c r="D8" s="57">
        <v>1500</v>
      </c>
      <c r="E8" s="58">
        <f>C8*D8</f>
        <v>3000</v>
      </c>
      <c r="F8" s="59">
        <v>1.1000000000000001</v>
      </c>
      <c r="G8" s="112">
        <f>E8*F8</f>
        <v>3300.0000000000005</v>
      </c>
      <c r="I8" s="17"/>
      <c r="J8" s="17"/>
      <c r="K8" s="18"/>
      <c r="L8" s="18"/>
      <c r="M8" s="18"/>
      <c r="N8" s="13" t="s">
        <v>97</v>
      </c>
    </row>
    <row r="9" spans="1:14">
      <c r="A9" s="43" t="s">
        <v>95</v>
      </c>
      <c r="B9" s="21" t="s">
        <v>98</v>
      </c>
      <c r="C9" s="60">
        <v>2</v>
      </c>
      <c r="D9" s="61">
        <v>600</v>
      </c>
      <c r="E9" s="62">
        <f>C9*D9</f>
        <v>1200</v>
      </c>
      <c r="F9" s="63">
        <v>1.1000000000000001</v>
      </c>
      <c r="G9" s="113">
        <f>E9*F9</f>
        <v>1320</v>
      </c>
      <c r="I9" s="17"/>
      <c r="J9" s="17"/>
      <c r="K9" s="18"/>
      <c r="L9" s="18"/>
      <c r="M9" s="18"/>
      <c r="N9" s="13" t="s">
        <v>99</v>
      </c>
    </row>
    <row r="10" spans="1:14">
      <c r="A10" s="43" t="s">
        <v>95</v>
      </c>
      <c r="B10" s="21" t="s">
        <v>100</v>
      </c>
      <c r="C10" s="60">
        <v>2</v>
      </c>
      <c r="D10" s="61">
        <v>50</v>
      </c>
      <c r="E10" s="62">
        <f t="shared" ref="E10:E12" si="0">C10*D10</f>
        <v>100</v>
      </c>
      <c r="F10" s="63">
        <v>1.1000000000000001</v>
      </c>
      <c r="G10" s="113">
        <f t="shared" ref="G10:G12" si="1">E10*F10</f>
        <v>110.00000000000001</v>
      </c>
      <c r="I10" s="17"/>
      <c r="J10" s="17"/>
      <c r="K10" s="18"/>
      <c r="L10" s="18"/>
      <c r="M10" s="18"/>
    </row>
    <row r="11" spans="1:14">
      <c r="A11" s="43" t="s">
        <v>95</v>
      </c>
      <c r="B11" s="21"/>
      <c r="C11" s="60"/>
      <c r="D11" s="61"/>
      <c r="E11" s="62">
        <f t="shared" si="0"/>
        <v>0</v>
      </c>
      <c r="F11" s="63">
        <v>1.1000000000000001</v>
      </c>
      <c r="G11" s="113">
        <f t="shared" si="1"/>
        <v>0</v>
      </c>
      <c r="I11" s="17"/>
      <c r="J11" s="17"/>
      <c r="K11" s="18"/>
      <c r="L11" s="18"/>
      <c r="M11" s="18"/>
    </row>
    <row r="12" spans="1:14" ht="13.8" thickBot="1">
      <c r="A12" s="44" t="s">
        <v>95</v>
      </c>
      <c r="B12" s="22"/>
      <c r="C12" s="64"/>
      <c r="D12" s="65"/>
      <c r="E12" s="66">
        <f t="shared" si="0"/>
        <v>0</v>
      </c>
      <c r="F12" s="67">
        <v>1.1000000000000001</v>
      </c>
      <c r="G12" s="114">
        <f t="shared" si="1"/>
        <v>0</v>
      </c>
      <c r="I12" s="17"/>
      <c r="J12" s="17"/>
      <c r="K12" s="18"/>
      <c r="L12" s="18"/>
      <c r="M12" s="18"/>
    </row>
    <row r="13" spans="1:14" s="23" customFormat="1" ht="21" customHeight="1" thickBot="1">
      <c r="A13" s="138"/>
      <c r="B13" s="139" t="s">
        <v>101</v>
      </c>
      <c r="C13" s="139" t="s">
        <v>71</v>
      </c>
      <c r="D13" s="139"/>
      <c r="E13" s="140">
        <f>SUM(E8:E12)</f>
        <v>4300</v>
      </c>
      <c r="F13" s="139"/>
      <c r="G13" s="154">
        <f>SUM(G8:G12)</f>
        <v>4730</v>
      </c>
      <c r="I13" s="24"/>
      <c r="J13" s="46"/>
      <c r="K13" s="24"/>
      <c r="L13" s="24"/>
      <c r="M13" s="24"/>
      <c r="N13" s="25"/>
    </row>
    <row r="14" spans="1:14" ht="13.8" thickBot="1">
      <c r="B14" s="131"/>
      <c r="C14" s="125"/>
      <c r="D14" s="126"/>
      <c r="E14" s="123"/>
      <c r="F14" s="123"/>
      <c r="G14" s="125"/>
      <c r="H14" s="124"/>
      <c r="I14" s="127"/>
      <c r="J14" s="128"/>
      <c r="K14" s="129"/>
      <c r="L14" s="130"/>
      <c r="M14" s="54"/>
      <c r="N14" s="41"/>
    </row>
    <row r="15" spans="1:14" ht="27" customHeight="1" thickBot="1">
      <c r="A15" s="115" t="s">
        <v>87</v>
      </c>
      <c r="B15" s="251" t="s">
        <v>102</v>
      </c>
      <c r="C15" s="117" t="s">
        <v>89</v>
      </c>
      <c r="D15" s="117" t="s">
        <v>90</v>
      </c>
      <c r="E15" s="117" t="s">
        <v>103</v>
      </c>
      <c r="F15" s="117" t="s">
        <v>92</v>
      </c>
      <c r="G15" s="118" t="s">
        <v>93</v>
      </c>
    </row>
    <row r="16" spans="1:14">
      <c r="A16" s="43" t="s">
        <v>104</v>
      </c>
      <c r="B16" s="26" t="s">
        <v>105</v>
      </c>
      <c r="C16" s="68">
        <v>2</v>
      </c>
      <c r="D16" s="69">
        <v>0.5</v>
      </c>
      <c r="E16" s="70">
        <f>C16*D16</f>
        <v>1</v>
      </c>
      <c r="F16" s="71">
        <v>1.2</v>
      </c>
      <c r="G16" s="164">
        <f>E16*F16</f>
        <v>1.2</v>
      </c>
    </row>
    <row r="17" spans="1:14">
      <c r="A17" s="43" t="s">
        <v>104</v>
      </c>
      <c r="B17" s="21" t="s">
        <v>106</v>
      </c>
      <c r="C17" s="73">
        <v>2</v>
      </c>
      <c r="D17" s="74">
        <v>1</v>
      </c>
      <c r="E17" s="75">
        <f t="shared" ref="E17:E20" si="2">C17*D17</f>
        <v>2</v>
      </c>
      <c r="F17" s="76">
        <v>1.2</v>
      </c>
      <c r="G17" s="113">
        <f t="shared" ref="G17:G20" si="3">E17*F17</f>
        <v>2.4</v>
      </c>
    </row>
    <row r="18" spans="1:14">
      <c r="A18" s="43" t="s">
        <v>104</v>
      </c>
      <c r="B18" s="21" t="s">
        <v>107</v>
      </c>
      <c r="C18" s="73">
        <v>2</v>
      </c>
      <c r="D18" s="74">
        <v>3</v>
      </c>
      <c r="E18" s="75">
        <f t="shared" si="2"/>
        <v>6</v>
      </c>
      <c r="F18" s="76">
        <v>1.2</v>
      </c>
      <c r="G18" s="113">
        <f t="shared" si="3"/>
        <v>7.1999999999999993</v>
      </c>
    </row>
    <row r="19" spans="1:14">
      <c r="A19" s="43" t="s">
        <v>104</v>
      </c>
      <c r="B19" s="21" t="s">
        <v>108</v>
      </c>
      <c r="C19" s="73">
        <v>2</v>
      </c>
      <c r="D19" s="74">
        <v>4</v>
      </c>
      <c r="E19" s="75">
        <f t="shared" si="2"/>
        <v>8</v>
      </c>
      <c r="F19" s="76">
        <v>1.3</v>
      </c>
      <c r="G19" s="113">
        <f t="shared" si="3"/>
        <v>10.4</v>
      </c>
    </row>
    <row r="20" spans="1:14" ht="13.8" thickBot="1">
      <c r="A20" s="45" t="s">
        <v>104</v>
      </c>
      <c r="B20" s="27"/>
      <c r="C20" s="77"/>
      <c r="D20" s="77"/>
      <c r="E20" s="78">
        <f t="shared" si="2"/>
        <v>0</v>
      </c>
      <c r="F20" s="79">
        <v>1.2</v>
      </c>
      <c r="G20" s="165">
        <f t="shared" si="3"/>
        <v>0</v>
      </c>
    </row>
    <row r="21" spans="1:14" s="23" customFormat="1" ht="21" customHeight="1" thickBot="1">
      <c r="A21" s="138"/>
      <c r="B21" s="139" t="s">
        <v>101</v>
      </c>
      <c r="C21" s="139"/>
      <c r="D21" s="139"/>
      <c r="E21" s="141">
        <f>SUM(E16:E20)</f>
        <v>17</v>
      </c>
      <c r="F21" s="139"/>
      <c r="G21" s="154">
        <f>SUM(G16:G20)</f>
        <v>21.2</v>
      </c>
      <c r="H21" s="14"/>
      <c r="I21" s="24"/>
      <c r="J21" s="28"/>
      <c r="K21" s="24"/>
      <c r="L21" s="24"/>
      <c r="M21" s="24"/>
      <c r="N21" s="25"/>
    </row>
    <row r="22" spans="1:14" ht="13.8" thickBot="1">
      <c r="B22" s="131"/>
      <c r="C22" s="125"/>
      <c r="D22" s="126"/>
      <c r="E22" s="123"/>
      <c r="F22" s="123"/>
      <c r="G22" s="125"/>
      <c r="H22" s="124"/>
      <c r="I22" s="127"/>
      <c r="J22" s="128"/>
      <c r="K22" s="129"/>
      <c r="L22" s="130"/>
      <c r="M22" s="54"/>
      <c r="N22" s="41"/>
    </row>
    <row r="23" spans="1:14" s="19" customFormat="1" ht="27" customHeight="1" thickBot="1">
      <c r="A23" s="115" t="s">
        <v>87</v>
      </c>
      <c r="B23" s="251" t="s">
        <v>109</v>
      </c>
      <c r="C23" s="117" t="s">
        <v>110</v>
      </c>
      <c r="D23" s="117" t="s">
        <v>111</v>
      </c>
      <c r="E23" s="117" t="s">
        <v>112</v>
      </c>
      <c r="F23" s="117" t="s">
        <v>113</v>
      </c>
      <c r="G23" s="117" t="s">
        <v>114</v>
      </c>
      <c r="H23" s="117" t="s">
        <v>115</v>
      </c>
      <c r="I23" s="117" t="s">
        <v>92</v>
      </c>
      <c r="J23" s="117" t="s">
        <v>93</v>
      </c>
      <c r="K23" s="116" t="s">
        <v>116</v>
      </c>
      <c r="L23" s="116" t="s">
        <v>117</v>
      </c>
      <c r="M23" s="119" t="s">
        <v>118</v>
      </c>
      <c r="N23" s="41"/>
    </row>
    <row r="24" spans="1:14" ht="13.8" thickBot="1">
      <c r="A24" s="80" t="s">
        <v>119</v>
      </c>
      <c r="B24" s="26" t="s">
        <v>120</v>
      </c>
      <c r="C24" s="69">
        <v>0.22</v>
      </c>
      <c r="D24" s="69">
        <v>0.1</v>
      </c>
      <c r="E24" s="70">
        <f>C24-D24</f>
        <v>0.12</v>
      </c>
      <c r="F24" s="71">
        <v>0.7</v>
      </c>
      <c r="G24" s="81">
        <v>4.53</v>
      </c>
      <c r="H24" s="82">
        <f>IF($A24&gt;0,(G24+M24)*C24-(K24/1000/L24*E24*F24),"")</f>
        <v>2.3821842572435736</v>
      </c>
      <c r="I24" s="71">
        <v>1</v>
      </c>
      <c r="J24" s="72">
        <f>IF($A24&gt;0,H24*I24,"")</f>
        <v>2.3821842572435736</v>
      </c>
      <c r="K24" s="83">
        <f>IF($A24="CU",MP!$B$3,IF($A24="AL",MP!$I$3,""))</f>
        <v>9645.7000000000007</v>
      </c>
      <c r="L24" s="84">
        <f>IF($A24="CU",MP!$B$7,IF($A24="AL",MP!$I$7,""))</f>
        <v>1.1631</v>
      </c>
      <c r="M24" s="112">
        <f>IF($A24="CU",MP!$B$8,IF($A24="AL",MP!$I$8,""))</f>
        <v>9.4645651104806134</v>
      </c>
      <c r="N24" s="13" t="s">
        <v>121</v>
      </c>
    </row>
    <row r="25" spans="1:14" s="23" customFormat="1" ht="21" customHeight="1" thickBot="1">
      <c r="A25" s="138"/>
      <c r="B25" s="139" t="s">
        <v>101</v>
      </c>
      <c r="C25" s="141">
        <f>SUM(C24:C24)</f>
        <v>0.22</v>
      </c>
      <c r="D25" s="141">
        <f>SUM(D24:D24)</f>
        <v>0.1</v>
      </c>
      <c r="E25" s="141"/>
      <c r="F25" s="139"/>
      <c r="G25" s="139"/>
      <c r="H25" s="142">
        <f>SUM(H24:H24)</f>
        <v>2.3821842572435736</v>
      </c>
      <c r="I25" s="139"/>
      <c r="J25" s="142">
        <f>SUM(J24:J24)</f>
        <v>2.3821842572435736</v>
      </c>
      <c r="K25" s="139"/>
      <c r="L25" s="139"/>
      <c r="M25" s="143"/>
      <c r="N25" s="25"/>
    </row>
    <row r="26" spans="1:14" ht="13.8" thickBot="1">
      <c r="B26" s="131"/>
      <c r="C26" s="125"/>
      <c r="D26" s="126"/>
      <c r="E26" s="123"/>
      <c r="F26" s="123"/>
      <c r="G26" s="125"/>
      <c r="H26" s="124"/>
      <c r="I26" s="127"/>
      <c r="J26" s="128"/>
      <c r="K26" s="129"/>
      <c r="L26" s="130"/>
      <c r="M26" s="54"/>
      <c r="N26" s="41"/>
    </row>
    <row r="27" spans="1:14" ht="27" customHeight="1" thickBot="1">
      <c r="A27" s="120" t="s">
        <v>122</v>
      </c>
      <c r="B27" s="252" t="s">
        <v>123</v>
      </c>
      <c r="C27" s="121" t="s">
        <v>39</v>
      </c>
      <c r="D27" s="121" t="s">
        <v>124</v>
      </c>
      <c r="E27" s="121" t="s">
        <v>155</v>
      </c>
      <c r="F27" s="121" t="s">
        <v>126</v>
      </c>
      <c r="G27" s="121" t="s">
        <v>127</v>
      </c>
      <c r="H27" s="121" t="s">
        <v>128</v>
      </c>
      <c r="I27" s="121" t="s">
        <v>129</v>
      </c>
      <c r="J27" s="121" t="s">
        <v>130</v>
      </c>
      <c r="K27" s="121" t="s">
        <v>92</v>
      </c>
      <c r="L27" s="121" t="s">
        <v>131</v>
      </c>
      <c r="M27" s="122" t="s">
        <v>132</v>
      </c>
      <c r="N27" s="14"/>
    </row>
    <row r="28" spans="1:14">
      <c r="A28" s="42">
        <v>1</v>
      </c>
      <c r="B28" s="29" t="s">
        <v>133</v>
      </c>
      <c r="C28" s="87" t="s">
        <v>134</v>
      </c>
      <c r="D28" s="87" t="s">
        <v>135</v>
      </c>
      <c r="E28" s="87" t="s">
        <v>136</v>
      </c>
      <c r="F28" s="88">
        <v>48</v>
      </c>
      <c r="G28" s="89">
        <v>30</v>
      </c>
      <c r="H28" s="90">
        <v>0</v>
      </c>
      <c r="I28" s="91">
        <f>IF(OR($L$4=0,$L$4=""),0,G28/60/$L$4*F28)</f>
        <v>1.6</v>
      </c>
      <c r="J28" s="91">
        <f t="shared" ref="J28:J35" si="4">IF(D28="I",F28/3600*H28,F28)</f>
        <v>0</v>
      </c>
      <c r="K28" s="59">
        <v>1</v>
      </c>
      <c r="L28" s="91">
        <f>I28*K28</f>
        <v>1.6</v>
      </c>
      <c r="M28" s="112">
        <f t="shared" ref="M28:M37" si="5">IF(C28="ADD",(J28 + I28)*K28,J28*K28)</f>
        <v>0</v>
      </c>
      <c r="N28" s="30"/>
    </row>
    <row r="29" spans="1:14">
      <c r="A29" s="92">
        <v>10</v>
      </c>
      <c r="B29" s="31" t="s">
        <v>137</v>
      </c>
      <c r="C29" s="93" t="s">
        <v>134</v>
      </c>
      <c r="D29" s="94" t="s">
        <v>135</v>
      </c>
      <c r="E29" s="94" t="s">
        <v>138</v>
      </c>
      <c r="F29" s="95">
        <v>150</v>
      </c>
      <c r="G29" s="96">
        <v>0</v>
      </c>
      <c r="H29" s="97">
        <v>20</v>
      </c>
      <c r="I29" s="85">
        <f t="shared" ref="I29:I37" si="6">G29/60/$L$4*F29</f>
        <v>0</v>
      </c>
      <c r="J29" s="85">
        <f t="shared" si="4"/>
        <v>0.83333333333333326</v>
      </c>
      <c r="K29" s="76">
        <v>1</v>
      </c>
      <c r="L29" s="85">
        <f t="shared" ref="L29:L37" si="7">I29*K29</f>
        <v>0</v>
      </c>
      <c r="M29" s="113">
        <f t="shared" si="5"/>
        <v>0.83333333333333326</v>
      </c>
      <c r="N29" s="30"/>
    </row>
    <row r="30" spans="1:14">
      <c r="A30" s="92">
        <v>20</v>
      </c>
      <c r="B30" s="31" t="s">
        <v>139</v>
      </c>
      <c r="C30" s="93" t="s">
        <v>134</v>
      </c>
      <c r="D30" s="94" t="s">
        <v>135</v>
      </c>
      <c r="E30" s="94" t="s">
        <v>140</v>
      </c>
      <c r="F30" s="95">
        <v>70</v>
      </c>
      <c r="G30" s="96">
        <v>30</v>
      </c>
      <c r="H30" s="97">
        <v>30</v>
      </c>
      <c r="I30" s="85">
        <f t="shared" si="6"/>
        <v>2.3333333333333335</v>
      </c>
      <c r="J30" s="85">
        <f t="shared" si="4"/>
        <v>0.58333333333333337</v>
      </c>
      <c r="K30" s="76">
        <v>1</v>
      </c>
      <c r="L30" s="85">
        <f t="shared" si="7"/>
        <v>2.3333333333333335</v>
      </c>
      <c r="M30" s="113">
        <f t="shared" si="5"/>
        <v>0.58333333333333337</v>
      </c>
      <c r="N30" s="30"/>
    </row>
    <row r="31" spans="1:14">
      <c r="A31" s="92">
        <v>30</v>
      </c>
      <c r="B31" s="31" t="s">
        <v>141</v>
      </c>
      <c r="C31" s="93" t="s">
        <v>134</v>
      </c>
      <c r="D31" s="94" t="s">
        <v>135</v>
      </c>
      <c r="E31" s="94" t="s">
        <v>142</v>
      </c>
      <c r="F31" s="95">
        <v>70</v>
      </c>
      <c r="G31" s="96">
        <v>30</v>
      </c>
      <c r="H31" s="97">
        <v>30</v>
      </c>
      <c r="I31" s="85">
        <f t="shared" si="6"/>
        <v>2.3333333333333335</v>
      </c>
      <c r="J31" s="85">
        <f t="shared" si="4"/>
        <v>0.58333333333333337</v>
      </c>
      <c r="K31" s="76">
        <v>1</v>
      </c>
      <c r="L31" s="85">
        <f t="shared" si="7"/>
        <v>2.3333333333333335</v>
      </c>
      <c r="M31" s="113">
        <f t="shared" si="5"/>
        <v>0.58333333333333337</v>
      </c>
      <c r="N31" s="14"/>
    </row>
    <row r="32" spans="1:14">
      <c r="A32" s="92">
        <v>40</v>
      </c>
      <c r="B32" s="31" t="s">
        <v>143</v>
      </c>
      <c r="C32" s="93" t="s">
        <v>134</v>
      </c>
      <c r="D32" s="94" t="s">
        <v>135</v>
      </c>
      <c r="E32" s="94" t="s">
        <v>144</v>
      </c>
      <c r="F32" s="95">
        <v>70</v>
      </c>
      <c r="G32" s="96">
        <v>0</v>
      </c>
      <c r="H32" s="97">
        <v>180</v>
      </c>
      <c r="I32" s="85">
        <f t="shared" si="6"/>
        <v>0</v>
      </c>
      <c r="J32" s="85">
        <f t="shared" si="4"/>
        <v>3.5</v>
      </c>
      <c r="K32" s="76">
        <v>1</v>
      </c>
      <c r="L32" s="85">
        <f t="shared" si="7"/>
        <v>0</v>
      </c>
      <c r="M32" s="113">
        <f t="shared" si="5"/>
        <v>3.5</v>
      </c>
      <c r="N32" s="14"/>
    </row>
    <row r="33" spans="1:14">
      <c r="A33" s="92">
        <v>60</v>
      </c>
      <c r="B33" s="31" t="s">
        <v>145</v>
      </c>
      <c r="C33" s="93" t="s">
        <v>134</v>
      </c>
      <c r="D33" s="94" t="s">
        <v>135</v>
      </c>
      <c r="E33" s="94" t="s">
        <v>146</v>
      </c>
      <c r="F33" s="95">
        <v>70</v>
      </c>
      <c r="G33" s="96">
        <v>0</v>
      </c>
      <c r="H33" s="97">
        <v>300</v>
      </c>
      <c r="I33" s="85">
        <f t="shared" si="6"/>
        <v>0</v>
      </c>
      <c r="J33" s="85">
        <f t="shared" si="4"/>
        <v>5.833333333333333</v>
      </c>
      <c r="K33" s="76">
        <v>1.2</v>
      </c>
      <c r="L33" s="85">
        <f t="shared" si="7"/>
        <v>0</v>
      </c>
      <c r="M33" s="113">
        <f t="shared" si="5"/>
        <v>6.9999999999999991</v>
      </c>
      <c r="N33" s="14"/>
    </row>
    <row r="34" spans="1:14">
      <c r="A34" s="92">
        <v>70</v>
      </c>
      <c r="B34" s="31" t="s">
        <v>147</v>
      </c>
      <c r="C34" s="93" t="s">
        <v>148</v>
      </c>
      <c r="D34" s="94" t="s">
        <v>149</v>
      </c>
      <c r="E34" s="94" t="s">
        <v>150</v>
      </c>
      <c r="F34" s="95">
        <v>1.1000000000000001</v>
      </c>
      <c r="G34" s="96">
        <v>0</v>
      </c>
      <c r="H34" s="97">
        <v>0</v>
      </c>
      <c r="I34" s="85">
        <f t="shared" si="6"/>
        <v>0</v>
      </c>
      <c r="J34" s="85">
        <f t="shared" si="4"/>
        <v>1.1000000000000001</v>
      </c>
      <c r="K34" s="76">
        <v>1.2</v>
      </c>
      <c r="L34" s="85">
        <f t="shared" si="7"/>
        <v>0</v>
      </c>
      <c r="M34" s="113">
        <f t="shared" si="5"/>
        <v>1.32</v>
      </c>
      <c r="N34" s="14"/>
    </row>
    <row r="35" spans="1:14">
      <c r="A35" s="92">
        <v>80</v>
      </c>
      <c r="B35" s="31" t="s">
        <v>151</v>
      </c>
      <c r="C35" s="93" t="s">
        <v>134</v>
      </c>
      <c r="D35" s="94" t="s">
        <v>135</v>
      </c>
      <c r="E35" s="94"/>
      <c r="F35" s="95">
        <v>70</v>
      </c>
      <c r="G35" s="96">
        <v>0</v>
      </c>
      <c r="H35" s="97">
        <v>20</v>
      </c>
      <c r="I35" s="85">
        <f t="shared" si="6"/>
        <v>0</v>
      </c>
      <c r="J35" s="85">
        <f t="shared" si="4"/>
        <v>0.3888888888888889</v>
      </c>
      <c r="K35" s="76">
        <v>1</v>
      </c>
      <c r="L35" s="85">
        <f t="shared" si="7"/>
        <v>0</v>
      </c>
      <c r="M35" s="113">
        <f t="shared" si="5"/>
        <v>0.3888888888888889</v>
      </c>
      <c r="N35" s="14"/>
    </row>
    <row r="36" spans="1:14">
      <c r="A36" s="92">
        <v>90</v>
      </c>
      <c r="B36" s="31"/>
      <c r="C36" s="93" t="s">
        <v>134</v>
      </c>
      <c r="D36" s="94" t="s">
        <v>135</v>
      </c>
      <c r="E36" s="94"/>
      <c r="F36" s="95"/>
      <c r="G36" s="96"/>
      <c r="H36" s="97"/>
      <c r="I36" s="85"/>
      <c r="J36" s="85"/>
      <c r="K36" s="76">
        <v>1</v>
      </c>
      <c r="L36" s="85">
        <f t="shared" si="7"/>
        <v>0</v>
      </c>
      <c r="M36" s="113">
        <f t="shared" si="5"/>
        <v>0</v>
      </c>
      <c r="N36" s="14"/>
    </row>
    <row r="37" spans="1:14" ht="13.8" thickBot="1">
      <c r="A37" s="98">
        <v>100</v>
      </c>
      <c r="B37" s="32" t="s">
        <v>71</v>
      </c>
      <c r="C37" s="99" t="s">
        <v>134</v>
      </c>
      <c r="D37" s="100" t="s">
        <v>135</v>
      </c>
      <c r="E37" s="100"/>
      <c r="F37" s="101"/>
      <c r="G37" s="102"/>
      <c r="H37" s="103"/>
      <c r="I37" s="86">
        <f t="shared" si="6"/>
        <v>0</v>
      </c>
      <c r="J37" s="86">
        <f>IF(D37="I",F37/3600*H37,F37)</f>
        <v>0</v>
      </c>
      <c r="K37" s="104">
        <v>1</v>
      </c>
      <c r="L37" s="86">
        <f t="shared" si="7"/>
        <v>0</v>
      </c>
      <c r="M37" s="114">
        <f t="shared" si="5"/>
        <v>0</v>
      </c>
      <c r="N37" s="14"/>
    </row>
    <row r="38" spans="1:14" s="23" customFormat="1" ht="21" customHeight="1" thickBot="1">
      <c r="A38" s="155"/>
      <c r="B38" s="156" t="s">
        <v>152</v>
      </c>
      <c r="C38" s="156"/>
      <c r="D38" s="156"/>
      <c r="E38" s="156"/>
      <c r="F38" s="156"/>
      <c r="G38" s="156"/>
      <c r="H38" s="156"/>
      <c r="I38" s="157"/>
      <c r="J38" s="157"/>
      <c r="K38" s="156"/>
      <c r="L38" s="157">
        <f>SUMIF(C28:C37,"MACH",L28:L37)</f>
        <v>6.2666666666666675</v>
      </c>
      <c r="M38" s="158">
        <f>SUMIF(C28:C37,"MACH",M28:M37)</f>
        <v>12.888888888888889</v>
      </c>
      <c r="N38" s="25"/>
    </row>
    <row r="39" spans="1:14" s="23" customFormat="1" ht="21" customHeight="1" thickBot="1">
      <c r="A39" s="153"/>
      <c r="B39" s="139" t="s">
        <v>153</v>
      </c>
      <c r="C39" s="139"/>
      <c r="D39" s="139"/>
      <c r="E39" s="139"/>
      <c r="F39" s="139"/>
      <c r="G39" s="139"/>
      <c r="H39" s="139"/>
      <c r="I39" s="142"/>
      <c r="J39" s="142"/>
      <c r="K39" s="139"/>
      <c r="L39" s="139"/>
      <c r="M39" s="154">
        <f>SUMIF(C28:C37,"ADD",M28:M37)</f>
        <v>1.32</v>
      </c>
      <c r="N39" s="25"/>
    </row>
    <row r="40" spans="1:14" ht="13.8" thickBot="1">
      <c r="B40" s="144"/>
      <c r="C40" s="125"/>
      <c r="D40" s="126"/>
      <c r="E40" s="123"/>
      <c r="F40" s="123"/>
      <c r="G40" s="125"/>
      <c r="H40" s="124"/>
      <c r="I40" s="127"/>
      <c r="J40" s="128"/>
      <c r="K40" s="129"/>
      <c r="L40" s="130"/>
      <c r="M40" s="54"/>
      <c r="N40" s="41"/>
    </row>
    <row r="41" spans="1:14" ht="27" customHeight="1" thickBot="1">
      <c r="A41" s="115" t="s">
        <v>122</v>
      </c>
      <c r="B41" s="251" t="s">
        <v>154</v>
      </c>
      <c r="C41" s="117" t="s">
        <v>39</v>
      </c>
      <c r="D41" s="117" t="s">
        <v>124</v>
      </c>
      <c r="E41" s="117" t="s">
        <v>155</v>
      </c>
      <c r="F41" s="117"/>
      <c r="G41" s="117" t="s">
        <v>156</v>
      </c>
      <c r="H41" s="117" t="s">
        <v>157</v>
      </c>
      <c r="I41" s="117" t="s">
        <v>158</v>
      </c>
      <c r="J41" s="117" t="s">
        <v>159</v>
      </c>
      <c r="K41" s="117" t="s">
        <v>160</v>
      </c>
      <c r="L41" s="117" t="s">
        <v>161</v>
      </c>
      <c r="M41" s="159" t="s">
        <v>162</v>
      </c>
      <c r="N41" s="14"/>
    </row>
    <row r="42" spans="1:14" ht="18" customHeight="1" thickBot="1">
      <c r="A42" s="145">
        <v>50</v>
      </c>
      <c r="B42" s="146" t="s">
        <v>163</v>
      </c>
      <c r="C42" s="147" t="s">
        <v>164</v>
      </c>
      <c r="D42" s="147" t="s">
        <v>149</v>
      </c>
      <c r="E42" s="147" t="s">
        <v>165</v>
      </c>
      <c r="F42" s="147"/>
      <c r="G42" s="148">
        <v>4</v>
      </c>
      <c r="H42" s="149">
        <v>1.3</v>
      </c>
      <c r="I42" s="150">
        <f>G42*H42</f>
        <v>5.2</v>
      </c>
      <c r="J42" s="151">
        <v>10</v>
      </c>
      <c r="K42" s="150">
        <f>J42*MP!P3/1000</f>
        <v>11.0373</v>
      </c>
      <c r="L42" s="149">
        <v>1.1000000000000001</v>
      </c>
      <c r="M42" s="152">
        <f>K42*L42</f>
        <v>12.141030000000001</v>
      </c>
      <c r="N42" s="14"/>
    </row>
    <row r="43" spans="1:14" s="23" customFormat="1" ht="21" customHeight="1" thickBot="1">
      <c r="A43" s="153"/>
      <c r="B43" s="139" t="s">
        <v>101</v>
      </c>
      <c r="C43" s="139"/>
      <c r="D43" s="139"/>
      <c r="E43" s="139"/>
      <c r="F43" s="139"/>
      <c r="G43" s="139"/>
      <c r="H43" s="139"/>
      <c r="I43" s="154">
        <f>I42</f>
        <v>5.2</v>
      </c>
      <c r="J43" s="142"/>
      <c r="K43" s="142"/>
      <c r="L43" s="139"/>
      <c r="M43" s="154">
        <f>M42</f>
        <v>12.141030000000001</v>
      </c>
      <c r="N43" s="25"/>
    </row>
    <row r="44" spans="1:14" ht="13.8" thickBot="1">
      <c r="B44" s="144"/>
      <c r="C44" s="125"/>
      <c r="D44" s="126"/>
      <c r="E44" s="123"/>
      <c r="F44" s="123"/>
      <c r="G44" s="125"/>
      <c r="H44" s="124"/>
      <c r="I44" s="127"/>
      <c r="J44" s="128"/>
      <c r="K44" s="129"/>
      <c r="L44" s="130"/>
      <c r="M44" s="54"/>
      <c r="N44" s="41"/>
    </row>
    <row r="45" spans="1:14" ht="27" customHeight="1" thickBot="1">
      <c r="A45" s="115" t="s">
        <v>87</v>
      </c>
      <c r="B45" s="250" t="s">
        <v>179</v>
      </c>
      <c r="C45" s="116" t="s">
        <v>89</v>
      </c>
      <c r="D45" s="116" t="s">
        <v>167</v>
      </c>
      <c r="E45" s="116" t="s">
        <v>168</v>
      </c>
      <c r="F45" s="116"/>
      <c r="G45" s="116" t="s">
        <v>92</v>
      </c>
      <c r="H45" s="119" t="s">
        <v>93</v>
      </c>
      <c r="I45" s="34"/>
      <c r="J45" s="34"/>
      <c r="K45" s="34"/>
      <c r="L45" s="34"/>
      <c r="M45" s="34"/>
      <c r="N45" s="25"/>
    </row>
    <row r="46" spans="1:14">
      <c r="A46" s="42" t="s">
        <v>169</v>
      </c>
      <c r="B46" s="105" t="s">
        <v>170</v>
      </c>
      <c r="C46" s="259">
        <f>D25</f>
        <v>0.1</v>
      </c>
      <c r="D46" s="106">
        <v>0.7</v>
      </c>
      <c r="E46" s="91">
        <f>C46*D46</f>
        <v>6.9999999999999993E-2</v>
      </c>
      <c r="F46" s="33"/>
      <c r="G46" s="107">
        <v>1</v>
      </c>
      <c r="H46" s="112">
        <f t="shared" ref="H46:H47" si="8">E46*G46</f>
        <v>6.9999999999999993E-2</v>
      </c>
      <c r="I46" s="34" t="s">
        <v>71</v>
      </c>
      <c r="J46" s="34"/>
      <c r="K46" s="34"/>
      <c r="L46" s="34"/>
      <c r="M46" s="34"/>
      <c r="N46" s="25"/>
    </row>
    <row r="47" spans="1:14">
      <c r="A47" s="257" t="s">
        <v>171</v>
      </c>
      <c r="B47" s="108" t="s">
        <v>172</v>
      </c>
      <c r="C47" s="260">
        <f>D25</f>
        <v>0.1</v>
      </c>
      <c r="D47" s="109">
        <v>0.5</v>
      </c>
      <c r="E47" s="85">
        <f>C47*D47</f>
        <v>0.05</v>
      </c>
      <c r="F47" s="35"/>
      <c r="G47" s="110">
        <v>1</v>
      </c>
      <c r="H47" s="113">
        <f t="shared" si="8"/>
        <v>0.05</v>
      </c>
      <c r="I47" s="34" t="s">
        <v>71</v>
      </c>
      <c r="J47" s="34"/>
      <c r="K47" s="34"/>
      <c r="L47" s="34"/>
      <c r="M47" s="34"/>
      <c r="N47" s="25"/>
    </row>
    <row r="48" spans="1:14">
      <c r="A48" s="257" t="s">
        <v>173</v>
      </c>
      <c r="B48" s="108" t="s">
        <v>174</v>
      </c>
      <c r="C48" s="253"/>
      <c r="D48" s="254"/>
      <c r="E48" s="85">
        <f>H25+E21</f>
        <v>19.382184257243573</v>
      </c>
      <c r="F48" s="254"/>
      <c r="G48" s="254"/>
      <c r="H48" s="113">
        <f>J25+G21</f>
        <v>23.582184257243572</v>
      </c>
      <c r="I48" s="34" t="s">
        <v>71</v>
      </c>
      <c r="J48" s="34"/>
      <c r="K48" s="34"/>
      <c r="L48" s="34"/>
      <c r="M48" s="34"/>
      <c r="N48" s="25"/>
    </row>
    <row r="49" spans="1:14" ht="13.8" thickBot="1">
      <c r="A49" s="258" t="s">
        <v>134</v>
      </c>
      <c r="B49" s="111" t="s">
        <v>175</v>
      </c>
      <c r="C49" s="255"/>
      <c r="D49" s="256"/>
      <c r="E49" s="86">
        <f>J38</f>
        <v>0</v>
      </c>
      <c r="F49" s="256"/>
      <c r="G49" s="256"/>
      <c r="H49" s="114">
        <f>M38+M42+L38+M39+I43</f>
        <v>37.816585555555562</v>
      </c>
      <c r="I49" s="34"/>
      <c r="J49" s="34"/>
      <c r="K49" s="34"/>
      <c r="L49" s="34"/>
      <c r="M49" s="34"/>
      <c r="N49" s="25"/>
    </row>
    <row r="50" spans="1:14" ht="21" customHeight="1" thickBot="1">
      <c r="A50" s="160"/>
      <c r="B50" s="161"/>
      <c r="C50" s="162"/>
      <c r="D50" s="162"/>
      <c r="E50" s="162"/>
      <c r="F50" s="163"/>
      <c r="G50" s="163"/>
      <c r="H50" s="167">
        <f>SUM(H46:H49)</f>
        <v>61.518769812799135</v>
      </c>
      <c r="I50" s="34"/>
      <c r="J50" s="34"/>
      <c r="K50" s="34"/>
      <c r="L50" s="34"/>
      <c r="M50" s="34"/>
      <c r="N50" s="25"/>
    </row>
  </sheetData>
  <mergeCells count="7">
    <mergeCell ref="A1:A6"/>
    <mergeCell ref="C5:D5"/>
    <mergeCell ref="C2:E2"/>
    <mergeCell ref="H2:L2"/>
    <mergeCell ref="C3:E3"/>
    <mergeCell ref="H3:L3"/>
    <mergeCell ref="C4:E4"/>
  </mergeCells>
  <dataValidations count="2">
    <dataValidation type="list" allowBlank="1" showInputMessage="1" showErrorMessage="1" sqref="C28:C37" xr:uid="{C5D8D69A-D0C3-420C-9AE9-864AC280458E}">
      <formula1>"MACH,ADD"</formula1>
    </dataValidation>
    <dataValidation type="list" allowBlank="1" showInputMessage="1" showErrorMessage="1" sqref="A24" xr:uid="{08DC59BF-FDBC-4215-A08F-2B6083F754F3}">
      <formula1>"CU:AL"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3336-6B5E-4CB8-AB86-BADFF21EBA5B}">
  <dimension ref="A1:N5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8" sqref="M18"/>
    </sheetView>
  </sheetViews>
  <sheetFormatPr defaultColWidth="9.109375" defaultRowHeight="13.2"/>
  <cols>
    <col min="1" max="1" width="5.6640625" style="14" bestFit="1" customWidth="1"/>
    <col min="2" max="2" width="38.5546875" style="14" customWidth="1"/>
    <col min="3" max="5" width="11.6640625" style="14" customWidth="1"/>
    <col min="6" max="6" width="12.5546875" style="14" customWidth="1"/>
    <col min="7" max="7" width="11.6640625" style="14" customWidth="1"/>
    <col min="8" max="9" width="10.6640625" style="14" customWidth="1"/>
    <col min="10" max="11" width="11.33203125" style="14" customWidth="1"/>
    <col min="12" max="12" width="9.88671875" style="14" customWidth="1"/>
    <col min="13" max="13" width="10.44140625" style="14" customWidth="1"/>
    <col min="14" max="14" width="82.6640625" style="13" customWidth="1"/>
    <col min="15" max="16384" width="9.109375" style="14"/>
  </cols>
  <sheetData>
    <row r="1" spans="1:14" ht="13.8" thickBot="1">
      <c r="A1" s="309"/>
      <c r="B1" s="36" t="s">
        <v>66</v>
      </c>
      <c r="C1" s="11"/>
      <c r="D1" s="11"/>
      <c r="E1" s="11"/>
      <c r="F1" s="12"/>
      <c r="G1" s="37" t="s">
        <v>67</v>
      </c>
      <c r="H1" s="47" t="s">
        <v>68</v>
      </c>
      <c r="I1" s="37" t="s">
        <v>69</v>
      </c>
      <c r="J1" s="48">
        <v>44599</v>
      </c>
      <c r="K1" s="37" t="s">
        <v>70</v>
      </c>
      <c r="L1" s="49">
        <v>0</v>
      </c>
      <c r="M1" s="50"/>
      <c r="N1" s="13" t="s">
        <v>71</v>
      </c>
    </row>
    <row r="2" spans="1:14" ht="20.399999999999999" customHeight="1" thickBot="1">
      <c r="A2" s="309"/>
      <c r="B2" s="36" t="s">
        <v>72</v>
      </c>
      <c r="C2" s="297" t="s">
        <v>73</v>
      </c>
      <c r="D2" s="298"/>
      <c r="E2" s="299"/>
      <c r="F2" s="38" t="s">
        <v>74</v>
      </c>
      <c r="G2" s="15"/>
      <c r="H2" s="297" t="s">
        <v>75</v>
      </c>
      <c r="I2" s="298"/>
      <c r="J2" s="298"/>
      <c r="K2" s="298"/>
      <c r="L2" s="305"/>
      <c r="M2" s="34"/>
      <c r="N2" s="13" t="s">
        <v>71</v>
      </c>
    </row>
    <row r="3" spans="1:14" ht="18" customHeight="1" thickBot="1">
      <c r="A3" s="309"/>
      <c r="B3" s="36" t="s">
        <v>76</v>
      </c>
      <c r="C3" s="300" t="s">
        <v>180</v>
      </c>
      <c r="D3" s="301"/>
      <c r="E3" s="302"/>
      <c r="F3" s="39" t="s">
        <v>78</v>
      </c>
      <c r="G3" s="16"/>
      <c r="H3" s="306" t="s">
        <v>181</v>
      </c>
      <c r="I3" s="307"/>
      <c r="J3" s="307"/>
      <c r="K3" s="307"/>
      <c r="L3" s="308"/>
      <c r="M3" s="34"/>
    </row>
    <row r="4" spans="1:14" ht="18" customHeight="1" thickBot="1">
      <c r="A4" s="309"/>
      <c r="B4" s="36" t="s">
        <v>80</v>
      </c>
      <c r="C4" s="300" t="s">
        <v>180</v>
      </c>
      <c r="D4" s="301"/>
      <c r="E4" s="302"/>
      <c r="F4" s="39" t="s">
        <v>70</v>
      </c>
      <c r="G4" s="51" t="s">
        <v>182</v>
      </c>
      <c r="H4" s="39" t="s">
        <v>82</v>
      </c>
      <c r="I4" s="16"/>
      <c r="J4" s="52">
        <v>16</v>
      </c>
      <c r="K4" s="40" t="s">
        <v>83</v>
      </c>
      <c r="L4" s="53">
        <v>16</v>
      </c>
      <c r="M4" s="54"/>
    </row>
    <row r="5" spans="1:14" ht="13.8" thickBot="1">
      <c r="A5" s="309"/>
      <c r="B5" s="36" t="s">
        <v>84</v>
      </c>
      <c r="C5" s="303">
        <v>45803</v>
      </c>
      <c r="D5" s="304"/>
      <c r="E5" s="166" t="s">
        <v>85</v>
      </c>
      <c r="F5" s="132"/>
      <c r="G5" s="133">
        <v>45950</v>
      </c>
      <c r="H5" s="166" t="s">
        <v>86</v>
      </c>
      <c r="I5" s="134"/>
      <c r="J5" s="135">
        <v>16</v>
      </c>
      <c r="K5" s="136"/>
      <c r="L5" s="137"/>
      <c r="M5" s="54"/>
      <c r="N5" s="41"/>
    </row>
    <row r="6" spans="1:14" ht="13.8" thickBot="1">
      <c r="A6" s="310"/>
      <c r="B6" s="131"/>
      <c r="C6" s="125"/>
      <c r="D6" s="126"/>
      <c r="E6" s="123"/>
      <c r="F6" s="123"/>
      <c r="G6" s="125"/>
      <c r="H6" s="124"/>
      <c r="I6" s="127"/>
      <c r="J6" s="128"/>
      <c r="K6" s="129"/>
      <c r="L6" s="130"/>
      <c r="M6" s="54"/>
      <c r="N6" s="41"/>
    </row>
    <row r="7" spans="1:14" s="19" customFormat="1" ht="27" customHeight="1" thickBot="1">
      <c r="A7" s="115" t="s">
        <v>87</v>
      </c>
      <c r="B7" s="250" t="s">
        <v>88</v>
      </c>
      <c r="C7" s="116" t="s">
        <v>89</v>
      </c>
      <c r="D7" s="117" t="s">
        <v>90</v>
      </c>
      <c r="E7" s="117" t="s">
        <v>91</v>
      </c>
      <c r="F7" s="117" t="s">
        <v>92</v>
      </c>
      <c r="G7" s="118" t="s">
        <v>93</v>
      </c>
      <c r="H7" s="14"/>
      <c r="I7" s="17"/>
      <c r="J7" s="17"/>
      <c r="K7" s="18"/>
      <c r="L7" s="18"/>
      <c r="M7" s="55"/>
      <c r="N7" s="261" t="s">
        <v>94</v>
      </c>
    </row>
    <row r="8" spans="1:14">
      <c r="A8" s="42" t="s">
        <v>95</v>
      </c>
      <c r="B8" s="20" t="s">
        <v>96</v>
      </c>
      <c r="C8" s="56">
        <v>3</v>
      </c>
      <c r="D8" s="57">
        <v>1500</v>
      </c>
      <c r="E8" s="58">
        <f>C8*D8</f>
        <v>4500</v>
      </c>
      <c r="F8" s="59">
        <v>1.1000000000000001</v>
      </c>
      <c r="G8" s="112">
        <f>E8*F8</f>
        <v>4950</v>
      </c>
      <c r="I8" s="17"/>
      <c r="J8" s="17"/>
      <c r="K8" s="18"/>
      <c r="L8" s="18"/>
      <c r="M8" s="18"/>
      <c r="N8" s="13" t="s">
        <v>97</v>
      </c>
    </row>
    <row r="9" spans="1:14">
      <c r="A9" s="43" t="s">
        <v>95</v>
      </c>
      <c r="B9" s="21" t="s">
        <v>98</v>
      </c>
      <c r="C9" s="60">
        <v>3</v>
      </c>
      <c r="D9" s="61">
        <v>600</v>
      </c>
      <c r="E9" s="62">
        <f>C9*D9</f>
        <v>1800</v>
      </c>
      <c r="F9" s="63">
        <v>1.1000000000000001</v>
      </c>
      <c r="G9" s="113">
        <f>E9*F9</f>
        <v>1980.0000000000002</v>
      </c>
      <c r="I9" s="17"/>
      <c r="J9" s="17"/>
      <c r="K9" s="18"/>
      <c r="L9" s="18"/>
      <c r="M9" s="18"/>
      <c r="N9" s="13" t="s">
        <v>99</v>
      </c>
    </row>
    <row r="10" spans="1:14">
      <c r="A10" s="43" t="s">
        <v>95</v>
      </c>
      <c r="B10" s="21" t="s">
        <v>100</v>
      </c>
      <c r="C10" s="60">
        <v>3</v>
      </c>
      <c r="D10" s="61">
        <v>50</v>
      </c>
      <c r="E10" s="62">
        <f t="shared" ref="E10:E12" si="0">C10*D10</f>
        <v>150</v>
      </c>
      <c r="F10" s="63">
        <v>1.1000000000000001</v>
      </c>
      <c r="G10" s="113">
        <f t="shared" ref="G10:G12" si="1">E10*F10</f>
        <v>165</v>
      </c>
      <c r="I10" s="17"/>
      <c r="J10" s="17"/>
      <c r="K10" s="18"/>
      <c r="L10" s="18"/>
      <c r="M10" s="18"/>
    </row>
    <row r="11" spans="1:14">
      <c r="A11" s="43" t="s">
        <v>95</v>
      </c>
      <c r="B11" s="21"/>
      <c r="C11" s="60"/>
      <c r="D11" s="61"/>
      <c r="E11" s="62">
        <f t="shared" si="0"/>
        <v>0</v>
      </c>
      <c r="F11" s="63">
        <v>1.1000000000000001</v>
      </c>
      <c r="G11" s="113">
        <f t="shared" si="1"/>
        <v>0</v>
      </c>
      <c r="I11" s="17"/>
      <c r="J11" s="17"/>
      <c r="K11" s="18"/>
      <c r="L11" s="18"/>
      <c r="M11" s="18"/>
    </row>
    <row r="12" spans="1:14" ht="13.8" thickBot="1">
      <c r="A12" s="44" t="s">
        <v>95</v>
      </c>
      <c r="B12" s="22"/>
      <c r="C12" s="64"/>
      <c r="D12" s="65"/>
      <c r="E12" s="66">
        <f t="shared" si="0"/>
        <v>0</v>
      </c>
      <c r="F12" s="67">
        <v>1.1000000000000001</v>
      </c>
      <c r="G12" s="114">
        <f t="shared" si="1"/>
        <v>0</v>
      </c>
      <c r="I12" s="17"/>
      <c r="J12" s="17"/>
      <c r="K12" s="18"/>
      <c r="L12" s="18"/>
      <c r="M12" s="18"/>
    </row>
    <row r="13" spans="1:14" s="23" customFormat="1" ht="21" customHeight="1" thickBot="1">
      <c r="A13" s="138"/>
      <c r="B13" s="139" t="s">
        <v>101</v>
      </c>
      <c r="C13" s="139" t="s">
        <v>71</v>
      </c>
      <c r="D13" s="139"/>
      <c r="E13" s="140">
        <f>SUM(E8:E12)</f>
        <v>6450</v>
      </c>
      <c r="F13" s="139"/>
      <c r="G13" s="154">
        <f>SUM(G8:G12)</f>
        <v>7095</v>
      </c>
      <c r="I13" s="24"/>
      <c r="J13" s="46"/>
      <c r="K13" s="24"/>
      <c r="L13" s="24"/>
      <c r="M13" s="24"/>
      <c r="N13" s="25"/>
    </row>
    <row r="14" spans="1:14" ht="13.8" thickBot="1">
      <c r="B14" s="131"/>
      <c r="C14" s="125"/>
      <c r="D14" s="126"/>
      <c r="E14" s="123"/>
      <c r="F14" s="123"/>
      <c r="G14" s="125"/>
      <c r="H14" s="124"/>
      <c r="I14" s="127"/>
      <c r="J14" s="128"/>
      <c r="K14" s="129"/>
      <c r="L14" s="130"/>
      <c r="M14" s="54"/>
      <c r="N14" s="41"/>
    </row>
    <row r="15" spans="1:14" ht="27" customHeight="1" thickBot="1">
      <c r="A15" s="115" t="s">
        <v>87</v>
      </c>
      <c r="B15" s="251" t="s">
        <v>102</v>
      </c>
      <c r="C15" s="117" t="s">
        <v>89</v>
      </c>
      <c r="D15" s="117" t="s">
        <v>90</v>
      </c>
      <c r="E15" s="117" t="s">
        <v>103</v>
      </c>
      <c r="F15" s="117" t="s">
        <v>92</v>
      </c>
      <c r="G15" s="118" t="s">
        <v>93</v>
      </c>
    </row>
    <row r="16" spans="1:14">
      <c r="A16" s="43" t="s">
        <v>104</v>
      </c>
      <c r="B16" s="26" t="s">
        <v>105</v>
      </c>
      <c r="C16" s="68">
        <v>3</v>
      </c>
      <c r="D16" s="69">
        <v>0.5</v>
      </c>
      <c r="E16" s="70">
        <f>C16*D16</f>
        <v>1.5</v>
      </c>
      <c r="F16" s="71">
        <v>1.2</v>
      </c>
      <c r="G16" s="164">
        <f>E16*F16</f>
        <v>1.7999999999999998</v>
      </c>
    </row>
    <row r="17" spans="1:14">
      <c r="A17" s="43" t="s">
        <v>104</v>
      </c>
      <c r="B17" s="21" t="s">
        <v>106</v>
      </c>
      <c r="C17" s="73">
        <v>3</v>
      </c>
      <c r="D17" s="74">
        <v>1</v>
      </c>
      <c r="E17" s="75">
        <f t="shared" ref="E17:E20" si="2">C17*D17</f>
        <v>3</v>
      </c>
      <c r="F17" s="76">
        <v>1.2</v>
      </c>
      <c r="G17" s="113">
        <f t="shared" ref="G17:G20" si="3">E17*F17</f>
        <v>3.5999999999999996</v>
      </c>
    </row>
    <row r="18" spans="1:14">
      <c r="A18" s="43" t="s">
        <v>104</v>
      </c>
      <c r="B18" s="21" t="s">
        <v>107</v>
      </c>
      <c r="C18" s="73">
        <v>3</v>
      </c>
      <c r="D18" s="74">
        <v>3</v>
      </c>
      <c r="E18" s="75">
        <f t="shared" si="2"/>
        <v>9</v>
      </c>
      <c r="F18" s="76">
        <v>1.2</v>
      </c>
      <c r="G18" s="113">
        <f t="shared" si="3"/>
        <v>10.799999999999999</v>
      </c>
    </row>
    <row r="19" spans="1:14">
      <c r="A19" s="43" t="s">
        <v>104</v>
      </c>
      <c r="B19" s="21" t="s">
        <v>108</v>
      </c>
      <c r="C19" s="73">
        <v>3</v>
      </c>
      <c r="D19" s="74">
        <v>4</v>
      </c>
      <c r="E19" s="75">
        <f t="shared" si="2"/>
        <v>12</v>
      </c>
      <c r="F19" s="76">
        <v>1.3</v>
      </c>
      <c r="G19" s="113">
        <f t="shared" si="3"/>
        <v>15.600000000000001</v>
      </c>
    </row>
    <row r="20" spans="1:14" ht="13.8" thickBot="1">
      <c r="A20" s="45" t="s">
        <v>104</v>
      </c>
      <c r="B20" s="27"/>
      <c r="C20" s="77"/>
      <c r="D20" s="77"/>
      <c r="E20" s="78">
        <f t="shared" si="2"/>
        <v>0</v>
      </c>
      <c r="F20" s="79">
        <v>1.2</v>
      </c>
      <c r="G20" s="165">
        <f t="shared" si="3"/>
        <v>0</v>
      </c>
    </row>
    <row r="21" spans="1:14" s="23" customFormat="1" ht="21" customHeight="1" thickBot="1">
      <c r="A21" s="138"/>
      <c r="B21" s="139" t="s">
        <v>101</v>
      </c>
      <c r="C21" s="139"/>
      <c r="D21" s="139"/>
      <c r="E21" s="141">
        <f>SUM(E16:E20)</f>
        <v>25.5</v>
      </c>
      <c r="F21" s="139"/>
      <c r="G21" s="154">
        <f>SUM(G16:G20)</f>
        <v>31.8</v>
      </c>
      <c r="H21" s="14"/>
      <c r="I21" s="24"/>
      <c r="J21" s="28"/>
      <c r="K21" s="24"/>
      <c r="L21" s="24"/>
      <c r="M21" s="24"/>
      <c r="N21" s="25"/>
    </row>
    <row r="22" spans="1:14" ht="13.8" thickBot="1">
      <c r="B22" s="131"/>
      <c r="C22" s="125"/>
      <c r="D22" s="126"/>
      <c r="E22" s="123"/>
      <c r="F22" s="123"/>
      <c r="G22" s="125"/>
      <c r="H22" s="124"/>
      <c r="I22" s="127"/>
      <c r="J22" s="128"/>
      <c r="K22" s="129"/>
      <c r="L22" s="130"/>
      <c r="M22" s="54"/>
      <c r="N22" s="41"/>
    </row>
    <row r="23" spans="1:14" s="19" customFormat="1" ht="27" customHeight="1" thickBot="1">
      <c r="A23" s="115" t="s">
        <v>87</v>
      </c>
      <c r="B23" s="251" t="s">
        <v>109</v>
      </c>
      <c r="C23" s="117" t="s">
        <v>110</v>
      </c>
      <c r="D23" s="117" t="s">
        <v>111</v>
      </c>
      <c r="E23" s="117" t="s">
        <v>112</v>
      </c>
      <c r="F23" s="117" t="s">
        <v>113</v>
      </c>
      <c r="G23" s="117" t="s">
        <v>114</v>
      </c>
      <c r="H23" s="117" t="s">
        <v>115</v>
      </c>
      <c r="I23" s="117" t="s">
        <v>92</v>
      </c>
      <c r="J23" s="117" t="s">
        <v>93</v>
      </c>
      <c r="K23" s="116" t="s">
        <v>116</v>
      </c>
      <c r="L23" s="116" t="s">
        <v>117</v>
      </c>
      <c r="M23" s="119" t="s">
        <v>118</v>
      </c>
      <c r="N23" s="41"/>
    </row>
    <row r="24" spans="1:14" ht="13.8" thickBot="1">
      <c r="A24" s="80" t="s">
        <v>183</v>
      </c>
      <c r="B24" s="26" t="s">
        <v>184</v>
      </c>
      <c r="C24" s="69">
        <v>2</v>
      </c>
      <c r="D24" s="69">
        <v>1</v>
      </c>
      <c r="E24" s="70">
        <f>C24-D24</f>
        <v>1</v>
      </c>
      <c r="F24" s="71">
        <v>0.7</v>
      </c>
      <c r="G24" s="81">
        <v>4.53</v>
      </c>
      <c r="H24" s="82">
        <f>IF($A24&gt;0,(G24+M24)*C24-(K24/1000/L24*E24*F24),"")</f>
        <v>11.959097240134124</v>
      </c>
      <c r="I24" s="71">
        <v>1</v>
      </c>
      <c r="J24" s="72">
        <f>IF($A24&gt;0,H24*I24,"")</f>
        <v>11.959097240134124</v>
      </c>
      <c r="K24" s="83">
        <f>IF($A24="CU",MP!$B$3,IF($A24="AL",MP!$I$3,""))</f>
        <v>2593.8000000000002</v>
      </c>
      <c r="L24" s="84">
        <f>IF($A24="CU",MP!$B$7,IF($A24="AL",MP!$I$7,""))</f>
        <v>1.1631</v>
      </c>
      <c r="M24" s="112">
        <f>IF($A24="CU",MP!$B$8,IF($A24="AL",MP!$I$8,""))</f>
        <v>2.2300748001031723</v>
      </c>
      <c r="N24" s="13" t="s">
        <v>121</v>
      </c>
    </row>
    <row r="25" spans="1:14" s="23" customFormat="1" ht="21" customHeight="1" thickBot="1">
      <c r="A25" s="138"/>
      <c r="B25" s="139" t="s">
        <v>101</v>
      </c>
      <c r="C25" s="141">
        <f>SUM(C24:C24)</f>
        <v>2</v>
      </c>
      <c r="D25" s="141">
        <f>SUM(D24:D24)</f>
        <v>1</v>
      </c>
      <c r="E25" s="141"/>
      <c r="F25" s="139"/>
      <c r="G25" s="139"/>
      <c r="H25" s="142">
        <f>SUM(H24:H24)</f>
        <v>11.959097240134124</v>
      </c>
      <c r="I25" s="139"/>
      <c r="J25" s="142">
        <f>SUM(J24:J24)</f>
        <v>11.959097240134124</v>
      </c>
      <c r="K25" s="139"/>
      <c r="L25" s="139"/>
      <c r="M25" s="143"/>
      <c r="N25" s="25"/>
    </row>
    <row r="26" spans="1:14" ht="13.8" thickBot="1">
      <c r="B26" s="131"/>
      <c r="C26" s="125"/>
      <c r="D26" s="126"/>
      <c r="E26" s="123"/>
      <c r="F26" s="123"/>
      <c r="G26" s="125"/>
      <c r="H26" s="124"/>
      <c r="I26" s="127"/>
      <c r="J26" s="128"/>
      <c r="K26" s="129"/>
      <c r="L26" s="130"/>
      <c r="M26" s="54"/>
      <c r="N26" s="41"/>
    </row>
    <row r="27" spans="1:14" ht="27" customHeight="1" thickBot="1">
      <c r="A27" s="120" t="s">
        <v>122</v>
      </c>
      <c r="B27" s="252" t="s">
        <v>123</v>
      </c>
      <c r="C27" s="121" t="s">
        <v>39</v>
      </c>
      <c r="D27" s="121" t="s">
        <v>124</v>
      </c>
      <c r="E27" s="121" t="s">
        <v>155</v>
      </c>
      <c r="F27" s="121" t="s">
        <v>126</v>
      </c>
      <c r="G27" s="121" t="s">
        <v>127</v>
      </c>
      <c r="H27" s="121" t="s">
        <v>128</v>
      </c>
      <c r="I27" s="121" t="s">
        <v>129</v>
      </c>
      <c r="J27" s="121" t="s">
        <v>130</v>
      </c>
      <c r="K27" s="121" t="s">
        <v>92</v>
      </c>
      <c r="L27" s="121" t="s">
        <v>131</v>
      </c>
      <c r="M27" s="122" t="s">
        <v>132</v>
      </c>
      <c r="N27" s="14"/>
    </row>
    <row r="28" spans="1:14">
      <c r="A28" s="42">
        <v>1</v>
      </c>
      <c r="B28" s="29" t="s">
        <v>133</v>
      </c>
      <c r="C28" s="87" t="s">
        <v>134</v>
      </c>
      <c r="D28" s="87" t="s">
        <v>135</v>
      </c>
      <c r="E28" s="87" t="s">
        <v>136</v>
      </c>
      <c r="F28" s="88">
        <v>48</v>
      </c>
      <c r="G28" s="89">
        <v>30</v>
      </c>
      <c r="H28" s="90">
        <v>0</v>
      </c>
      <c r="I28" s="91">
        <f>IF(OR($L$4=0,$L$4=""),0,G28/60/$L$4*F28)</f>
        <v>1.5</v>
      </c>
      <c r="J28" s="91">
        <f t="shared" ref="J28:J35" si="4">IF(D28="I",F28/3600*H28,F28)</f>
        <v>0</v>
      </c>
      <c r="K28" s="59">
        <v>1</v>
      </c>
      <c r="L28" s="91">
        <f>I28*K28</f>
        <v>1.5</v>
      </c>
      <c r="M28" s="112">
        <f t="shared" ref="M28:M37" si="5">IF(C28="ADD",(J28 + I28)*K28,J28*K28)</f>
        <v>0</v>
      </c>
      <c r="N28" s="30"/>
    </row>
    <row r="29" spans="1:14">
      <c r="A29" s="92">
        <v>10</v>
      </c>
      <c r="B29" s="31" t="s">
        <v>137</v>
      </c>
      <c r="C29" s="93" t="s">
        <v>134</v>
      </c>
      <c r="D29" s="94" t="s">
        <v>135</v>
      </c>
      <c r="E29" s="94" t="s">
        <v>138</v>
      </c>
      <c r="F29" s="95">
        <v>150</v>
      </c>
      <c r="G29" s="96">
        <v>0</v>
      </c>
      <c r="H29" s="97">
        <v>20</v>
      </c>
      <c r="I29" s="85">
        <f t="shared" ref="I29:I37" si="6">G29/60/$L$4*F29</f>
        <v>0</v>
      </c>
      <c r="J29" s="85">
        <f t="shared" si="4"/>
        <v>0.83333333333333326</v>
      </c>
      <c r="K29" s="76">
        <v>1</v>
      </c>
      <c r="L29" s="85">
        <f t="shared" ref="L29:L37" si="7">I29*K29</f>
        <v>0</v>
      </c>
      <c r="M29" s="113">
        <f t="shared" si="5"/>
        <v>0.83333333333333326</v>
      </c>
      <c r="N29" s="30"/>
    </row>
    <row r="30" spans="1:14">
      <c r="A30" s="92">
        <v>20</v>
      </c>
      <c r="B30" s="31" t="s">
        <v>139</v>
      </c>
      <c r="C30" s="93" t="s">
        <v>134</v>
      </c>
      <c r="D30" s="94" t="s">
        <v>135</v>
      </c>
      <c r="E30" s="94" t="s">
        <v>140</v>
      </c>
      <c r="F30" s="95">
        <v>70</v>
      </c>
      <c r="G30" s="96">
        <v>60</v>
      </c>
      <c r="H30" s="97">
        <v>30</v>
      </c>
      <c r="I30" s="85">
        <f t="shared" si="6"/>
        <v>4.375</v>
      </c>
      <c r="J30" s="85">
        <f t="shared" si="4"/>
        <v>0.58333333333333337</v>
      </c>
      <c r="K30" s="76">
        <v>1</v>
      </c>
      <c r="L30" s="85">
        <f t="shared" si="7"/>
        <v>4.375</v>
      </c>
      <c r="M30" s="113">
        <f t="shared" si="5"/>
        <v>0.58333333333333337</v>
      </c>
      <c r="N30" s="30"/>
    </row>
    <row r="31" spans="1:14">
      <c r="A31" s="92">
        <v>30</v>
      </c>
      <c r="B31" s="31" t="s">
        <v>141</v>
      </c>
      <c r="C31" s="93" t="s">
        <v>134</v>
      </c>
      <c r="D31" s="94" t="s">
        <v>135</v>
      </c>
      <c r="E31" s="94" t="s">
        <v>142</v>
      </c>
      <c r="F31" s="95">
        <v>70</v>
      </c>
      <c r="G31" s="96">
        <v>60</v>
      </c>
      <c r="H31" s="97">
        <v>30</v>
      </c>
      <c r="I31" s="85">
        <f t="shared" si="6"/>
        <v>4.375</v>
      </c>
      <c r="J31" s="85">
        <f t="shared" si="4"/>
        <v>0.58333333333333337</v>
      </c>
      <c r="K31" s="76">
        <v>1</v>
      </c>
      <c r="L31" s="85">
        <f t="shared" si="7"/>
        <v>4.375</v>
      </c>
      <c r="M31" s="113">
        <f t="shared" si="5"/>
        <v>0.58333333333333337</v>
      </c>
      <c r="N31" s="14"/>
    </row>
    <row r="32" spans="1:14">
      <c r="A32" s="92">
        <v>40</v>
      </c>
      <c r="B32" s="31" t="s">
        <v>143</v>
      </c>
      <c r="C32" s="93" t="s">
        <v>134</v>
      </c>
      <c r="D32" s="94" t="s">
        <v>135</v>
      </c>
      <c r="E32" s="94" t="s">
        <v>144</v>
      </c>
      <c r="F32" s="95">
        <v>70</v>
      </c>
      <c r="G32" s="96">
        <v>0</v>
      </c>
      <c r="H32" s="97">
        <v>180</v>
      </c>
      <c r="I32" s="85">
        <f t="shared" si="6"/>
        <v>0</v>
      </c>
      <c r="J32" s="85">
        <f t="shared" si="4"/>
        <v>3.5</v>
      </c>
      <c r="K32" s="76">
        <v>1</v>
      </c>
      <c r="L32" s="85">
        <f t="shared" si="7"/>
        <v>0</v>
      </c>
      <c r="M32" s="113">
        <f t="shared" si="5"/>
        <v>3.5</v>
      </c>
      <c r="N32" s="14"/>
    </row>
    <row r="33" spans="1:14">
      <c r="A33" s="92">
        <v>60</v>
      </c>
      <c r="B33" s="31" t="s">
        <v>145</v>
      </c>
      <c r="C33" s="93" t="s">
        <v>134</v>
      </c>
      <c r="D33" s="94" t="s">
        <v>135</v>
      </c>
      <c r="E33" s="94" t="s">
        <v>146</v>
      </c>
      <c r="F33" s="95">
        <v>70</v>
      </c>
      <c r="G33" s="96">
        <v>0</v>
      </c>
      <c r="H33" s="97">
        <v>300</v>
      </c>
      <c r="I33" s="85">
        <f t="shared" si="6"/>
        <v>0</v>
      </c>
      <c r="J33" s="85">
        <f t="shared" si="4"/>
        <v>5.833333333333333</v>
      </c>
      <c r="K33" s="76">
        <v>1.2</v>
      </c>
      <c r="L33" s="85">
        <f t="shared" si="7"/>
        <v>0</v>
      </c>
      <c r="M33" s="113">
        <f t="shared" si="5"/>
        <v>6.9999999999999991</v>
      </c>
      <c r="N33" s="14"/>
    </row>
    <row r="34" spans="1:14">
      <c r="A34" s="92">
        <v>70</v>
      </c>
      <c r="B34" s="31" t="s">
        <v>147</v>
      </c>
      <c r="C34" s="93" t="s">
        <v>148</v>
      </c>
      <c r="D34" s="94" t="s">
        <v>149</v>
      </c>
      <c r="E34" s="94" t="s">
        <v>150</v>
      </c>
      <c r="F34" s="95">
        <v>1.1000000000000001</v>
      </c>
      <c r="G34" s="96">
        <v>0</v>
      </c>
      <c r="H34" s="97">
        <v>0</v>
      </c>
      <c r="I34" s="85">
        <f t="shared" si="6"/>
        <v>0</v>
      </c>
      <c r="J34" s="85">
        <f t="shared" si="4"/>
        <v>1.1000000000000001</v>
      </c>
      <c r="K34" s="76">
        <v>1.2</v>
      </c>
      <c r="L34" s="85">
        <f t="shared" si="7"/>
        <v>0</v>
      </c>
      <c r="M34" s="113">
        <f t="shared" si="5"/>
        <v>1.32</v>
      </c>
      <c r="N34" s="14"/>
    </row>
    <row r="35" spans="1:14">
      <c r="A35" s="92">
        <v>80</v>
      </c>
      <c r="B35" s="31" t="s">
        <v>151</v>
      </c>
      <c r="C35" s="93" t="s">
        <v>134</v>
      </c>
      <c r="D35" s="94" t="s">
        <v>135</v>
      </c>
      <c r="E35" s="94"/>
      <c r="F35" s="95">
        <v>70</v>
      </c>
      <c r="G35" s="96">
        <v>0</v>
      </c>
      <c r="H35" s="97">
        <v>20</v>
      </c>
      <c r="I35" s="85">
        <f t="shared" si="6"/>
        <v>0</v>
      </c>
      <c r="J35" s="85">
        <f t="shared" si="4"/>
        <v>0.3888888888888889</v>
      </c>
      <c r="K35" s="76">
        <v>1</v>
      </c>
      <c r="L35" s="85">
        <f t="shared" si="7"/>
        <v>0</v>
      </c>
      <c r="M35" s="113">
        <f t="shared" si="5"/>
        <v>0.3888888888888889</v>
      </c>
      <c r="N35" s="14"/>
    </row>
    <row r="36" spans="1:14">
      <c r="A36" s="92">
        <v>90</v>
      </c>
      <c r="B36" s="31"/>
      <c r="C36" s="93" t="s">
        <v>134</v>
      </c>
      <c r="D36" s="94" t="s">
        <v>135</v>
      </c>
      <c r="E36" s="94"/>
      <c r="F36" s="95"/>
      <c r="G36" s="96"/>
      <c r="H36" s="97"/>
      <c r="I36" s="85"/>
      <c r="J36" s="85"/>
      <c r="K36" s="76">
        <v>1</v>
      </c>
      <c r="L36" s="85">
        <f t="shared" si="7"/>
        <v>0</v>
      </c>
      <c r="M36" s="113">
        <f t="shared" si="5"/>
        <v>0</v>
      </c>
      <c r="N36" s="14"/>
    </row>
    <row r="37" spans="1:14" ht="13.8" thickBot="1">
      <c r="A37" s="98">
        <v>100</v>
      </c>
      <c r="B37" s="32" t="s">
        <v>71</v>
      </c>
      <c r="C37" s="99" t="s">
        <v>134</v>
      </c>
      <c r="D37" s="100" t="s">
        <v>135</v>
      </c>
      <c r="E37" s="100"/>
      <c r="F37" s="101"/>
      <c r="G37" s="102"/>
      <c r="H37" s="103"/>
      <c r="I37" s="86">
        <f t="shared" si="6"/>
        <v>0</v>
      </c>
      <c r="J37" s="86">
        <f>IF(D37="I",F37/3600*H37,F37)</f>
        <v>0</v>
      </c>
      <c r="K37" s="104">
        <v>1</v>
      </c>
      <c r="L37" s="86">
        <f t="shared" si="7"/>
        <v>0</v>
      </c>
      <c r="M37" s="114">
        <f t="shared" si="5"/>
        <v>0</v>
      </c>
      <c r="N37" s="14"/>
    </row>
    <row r="38" spans="1:14" s="23" customFormat="1" ht="21" customHeight="1" thickBot="1">
      <c r="A38" s="155"/>
      <c r="B38" s="156" t="s">
        <v>152</v>
      </c>
      <c r="C38" s="156"/>
      <c r="D38" s="156"/>
      <c r="E38" s="156"/>
      <c r="F38" s="156"/>
      <c r="G38" s="156"/>
      <c r="H38" s="156"/>
      <c r="I38" s="157"/>
      <c r="J38" s="157"/>
      <c r="K38" s="156"/>
      <c r="L38" s="157">
        <f>SUMIF(C28:C37,"MACH",L28:L37)</f>
        <v>10.25</v>
      </c>
      <c r="M38" s="158">
        <f>SUMIF(C28:C37,"MACH",M28:M37)</f>
        <v>12.888888888888889</v>
      </c>
      <c r="N38" s="25"/>
    </row>
    <row r="39" spans="1:14" s="23" customFormat="1" ht="21" customHeight="1" thickBot="1">
      <c r="A39" s="153"/>
      <c r="B39" s="139" t="s">
        <v>153</v>
      </c>
      <c r="C39" s="139"/>
      <c r="D39" s="139"/>
      <c r="E39" s="139"/>
      <c r="F39" s="139"/>
      <c r="G39" s="139"/>
      <c r="H39" s="139"/>
      <c r="I39" s="142"/>
      <c r="J39" s="142"/>
      <c r="K39" s="139"/>
      <c r="L39" s="139"/>
      <c r="M39" s="154">
        <f>SUMIF(C28:C37,"ADD",M28:M37)</f>
        <v>1.32</v>
      </c>
      <c r="N39" s="25"/>
    </row>
    <row r="40" spans="1:14" ht="13.8" thickBot="1">
      <c r="B40" s="144"/>
      <c r="C40" s="125"/>
      <c r="D40" s="126"/>
      <c r="E40" s="123"/>
      <c r="F40" s="123"/>
      <c r="G40" s="125"/>
      <c r="H40" s="124"/>
      <c r="I40" s="127"/>
      <c r="J40" s="128"/>
      <c r="K40" s="129"/>
      <c r="L40" s="130"/>
      <c r="M40" s="54"/>
      <c r="N40" s="41"/>
    </row>
    <row r="41" spans="1:14" ht="27" customHeight="1" thickBot="1">
      <c r="A41" s="115" t="s">
        <v>122</v>
      </c>
      <c r="B41" s="251" t="s">
        <v>154</v>
      </c>
      <c r="C41" s="117" t="s">
        <v>39</v>
      </c>
      <c r="D41" s="117" t="s">
        <v>124</v>
      </c>
      <c r="E41" s="117" t="s">
        <v>155</v>
      </c>
      <c r="F41" s="117"/>
      <c r="G41" s="117" t="s">
        <v>156</v>
      </c>
      <c r="H41" s="117" t="s">
        <v>157</v>
      </c>
      <c r="I41" s="117" t="s">
        <v>158</v>
      </c>
      <c r="J41" s="117" t="s">
        <v>159</v>
      </c>
      <c r="K41" s="117" t="s">
        <v>160</v>
      </c>
      <c r="L41" s="117" t="s">
        <v>161</v>
      </c>
      <c r="M41" s="159" t="s">
        <v>162</v>
      </c>
      <c r="N41" s="14"/>
    </row>
    <row r="42" spans="1:14" ht="18" customHeight="1" thickBot="1">
      <c r="A42" s="145">
        <v>50</v>
      </c>
      <c r="B42" s="146" t="s">
        <v>163</v>
      </c>
      <c r="C42" s="147" t="s">
        <v>164</v>
      </c>
      <c r="D42" s="147" t="s">
        <v>149</v>
      </c>
      <c r="E42" s="147" t="s">
        <v>165</v>
      </c>
      <c r="F42" s="147"/>
      <c r="G42" s="148">
        <v>4</v>
      </c>
      <c r="H42" s="149">
        <v>1.3</v>
      </c>
      <c r="I42" s="150">
        <f>G42*H42</f>
        <v>5.2</v>
      </c>
      <c r="J42" s="151">
        <v>20</v>
      </c>
      <c r="K42" s="150">
        <f>J42*MP!P3/1000</f>
        <v>22.0746</v>
      </c>
      <c r="L42" s="149">
        <v>1.1000000000000001</v>
      </c>
      <c r="M42" s="152">
        <f>K42*L42</f>
        <v>24.282060000000001</v>
      </c>
      <c r="N42" s="14"/>
    </row>
    <row r="43" spans="1:14" s="23" customFormat="1" ht="21" customHeight="1" thickBot="1">
      <c r="A43" s="153"/>
      <c r="B43" s="139" t="s">
        <v>101</v>
      </c>
      <c r="C43" s="139"/>
      <c r="D43" s="139"/>
      <c r="E43" s="139"/>
      <c r="F43" s="139"/>
      <c r="G43" s="139"/>
      <c r="H43" s="139"/>
      <c r="I43" s="154">
        <f>I42</f>
        <v>5.2</v>
      </c>
      <c r="J43" s="142"/>
      <c r="K43" s="142"/>
      <c r="L43" s="139"/>
      <c r="M43" s="154">
        <f>M42</f>
        <v>24.282060000000001</v>
      </c>
      <c r="N43" s="25"/>
    </row>
    <row r="44" spans="1:14" ht="13.8" thickBot="1">
      <c r="B44" s="144"/>
      <c r="C44" s="125"/>
      <c r="D44" s="126"/>
      <c r="E44" s="123"/>
      <c r="F44" s="123"/>
      <c r="G44" s="125"/>
      <c r="H44" s="124"/>
      <c r="I44" s="127"/>
      <c r="J44" s="128"/>
      <c r="K44" s="129"/>
      <c r="L44" s="130"/>
      <c r="M44" s="54"/>
      <c r="N44" s="41"/>
    </row>
    <row r="45" spans="1:14" ht="27" customHeight="1" thickBot="1">
      <c r="A45" s="115" t="s">
        <v>87</v>
      </c>
      <c r="B45" s="250" t="s">
        <v>179</v>
      </c>
      <c r="C45" s="116" t="s">
        <v>89</v>
      </c>
      <c r="D45" s="116" t="s">
        <v>167</v>
      </c>
      <c r="E45" s="116" t="s">
        <v>168</v>
      </c>
      <c r="F45" s="116"/>
      <c r="G45" s="116" t="s">
        <v>92</v>
      </c>
      <c r="H45" s="119" t="s">
        <v>93</v>
      </c>
      <c r="I45" s="34"/>
      <c r="J45" s="34"/>
      <c r="K45" s="34"/>
      <c r="L45" s="34"/>
      <c r="M45" s="34"/>
      <c r="N45" s="25"/>
    </row>
    <row r="46" spans="1:14">
      <c r="A46" s="42" t="s">
        <v>169</v>
      </c>
      <c r="B46" s="105" t="s">
        <v>170</v>
      </c>
      <c r="C46" s="259">
        <f>D25</f>
        <v>1</v>
      </c>
      <c r="D46" s="106">
        <v>0.7</v>
      </c>
      <c r="E46" s="91">
        <f>C46*D46</f>
        <v>0.7</v>
      </c>
      <c r="F46" s="33"/>
      <c r="G46" s="107">
        <v>1</v>
      </c>
      <c r="H46" s="112">
        <f t="shared" ref="H46:H47" si="8">E46*G46</f>
        <v>0.7</v>
      </c>
      <c r="I46" s="34" t="s">
        <v>71</v>
      </c>
      <c r="J46" s="34"/>
      <c r="K46" s="34"/>
      <c r="L46" s="34"/>
      <c r="M46" s="34"/>
      <c r="N46" s="25"/>
    </row>
    <row r="47" spans="1:14">
      <c r="A47" s="257" t="s">
        <v>171</v>
      </c>
      <c r="B47" s="108" t="s">
        <v>172</v>
      </c>
      <c r="C47" s="260">
        <f>D25</f>
        <v>1</v>
      </c>
      <c r="D47" s="109">
        <v>0.5</v>
      </c>
      <c r="E47" s="85">
        <f>C47*D47</f>
        <v>0.5</v>
      </c>
      <c r="F47" s="35"/>
      <c r="G47" s="110">
        <v>1</v>
      </c>
      <c r="H47" s="113">
        <f t="shared" si="8"/>
        <v>0.5</v>
      </c>
      <c r="I47" s="34" t="s">
        <v>71</v>
      </c>
      <c r="J47" s="34"/>
      <c r="K47" s="34"/>
      <c r="L47" s="34"/>
      <c r="M47" s="34"/>
      <c r="N47" s="25"/>
    </row>
    <row r="48" spans="1:14">
      <c r="A48" s="257" t="s">
        <v>173</v>
      </c>
      <c r="B48" s="108" t="s">
        <v>174</v>
      </c>
      <c r="C48" s="253"/>
      <c r="D48" s="254"/>
      <c r="E48" s="85">
        <f>H25+E21</f>
        <v>37.459097240134128</v>
      </c>
      <c r="F48" s="254"/>
      <c r="G48" s="254"/>
      <c r="H48" s="113">
        <f>J25+G21</f>
        <v>43.759097240134125</v>
      </c>
      <c r="I48" s="34" t="s">
        <v>71</v>
      </c>
      <c r="J48" s="34"/>
      <c r="K48" s="34"/>
      <c r="L48" s="34"/>
      <c r="M48" s="34"/>
      <c r="N48" s="25"/>
    </row>
    <row r="49" spans="1:14" ht="13.8" thickBot="1">
      <c r="A49" s="258" t="s">
        <v>134</v>
      </c>
      <c r="B49" s="111" t="s">
        <v>175</v>
      </c>
      <c r="C49" s="255"/>
      <c r="D49" s="256"/>
      <c r="E49" s="86">
        <f>J38</f>
        <v>0</v>
      </c>
      <c r="F49" s="256"/>
      <c r="G49" s="256"/>
      <c r="H49" s="114">
        <f>M38+M42+L38+M39+I43</f>
        <v>53.94094888888889</v>
      </c>
      <c r="I49" s="34"/>
      <c r="J49" s="34"/>
      <c r="K49" s="34"/>
      <c r="L49" s="34"/>
      <c r="M49" s="34"/>
      <c r="N49" s="25"/>
    </row>
    <row r="50" spans="1:14" ht="21" customHeight="1" thickBot="1">
      <c r="A50" s="160"/>
      <c r="B50" s="161"/>
      <c r="C50" s="162"/>
      <c r="D50" s="162"/>
      <c r="E50" s="162"/>
      <c r="F50" s="163"/>
      <c r="G50" s="163"/>
      <c r="H50" s="167">
        <f>SUM(H46:H49)</f>
        <v>98.900046129023025</v>
      </c>
      <c r="I50" s="34"/>
      <c r="J50" s="34"/>
      <c r="K50" s="34"/>
      <c r="L50" s="34"/>
      <c r="M50" s="34"/>
      <c r="N50" s="25"/>
    </row>
  </sheetData>
  <mergeCells count="7">
    <mergeCell ref="A1:A6"/>
    <mergeCell ref="C5:D5"/>
    <mergeCell ref="C2:E2"/>
    <mergeCell ref="H2:L2"/>
    <mergeCell ref="C3:E3"/>
    <mergeCell ref="H3:L3"/>
    <mergeCell ref="C4:E4"/>
  </mergeCells>
  <dataValidations count="2">
    <dataValidation type="list" allowBlank="1" showInputMessage="1" showErrorMessage="1" sqref="C28:C37" xr:uid="{6CF96653-7AEB-45E1-823E-B5E23801EB80}">
      <formula1>"MACH,ADD"</formula1>
    </dataValidation>
    <dataValidation type="list" allowBlank="1" showInputMessage="1" showErrorMessage="1" sqref="A24" xr:uid="{1D7794BA-C4FF-43D5-818C-C655DE4F0998}">
      <formula1>"CU:AL"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MP</vt:lpstr>
      <vt:lpstr>OFFER</vt:lpstr>
      <vt:lpstr>SC1</vt:lpstr>
      <vt:lpstr>SC2</vt:lpstr>
      <vt:lpstr>SC3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xyz</dc:creator>
  <cp:keywords/>
  <dc:description/>
  <cp:lastModifiedBy>Danae Boukiou</cp:lastModifiedBy>
  <cp:revision/>
  <dcterms:created xsi:type="dcterms:W3CDTF">2002-05-23T12:34:04Z</dcterms:created>
  <dcterms:modified xsi:type="dcterms:W3CDTF">2026-08-28T10:41:42Z</dcterms:modified>
  <cp:category/>
  <cp:contentStatus/>
</cp:coreProperties>
</file>